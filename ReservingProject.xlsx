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Tyler\Downloads\"/>
    </mc:Choice>
  </mc:AlternateContent>
  <xr:revisionPtr revIDLastSave="0" documentId="8_{D95E7328-C530-4C42-9AD1-838B747462C5}" xr6:coauthVersionLast="47" xr6:coauthVersionMax="47" xr10:uidLastSave="{00000000-0000-0000-0000-000000000000}"/>
  <bookViews>
    <workbookView xWindow="-120" yWindow="-120" windowWidth="29040" windowHeight="16440" xr2:uid="{44F31B50-3BBF-4442-BC18-6E6AFA416118}"/>
  </bookViews>
  <sheets>
    <sheet name="Methodology" sheetId="10" r:id="rId1"/>
    <sheet name="Raw Data" sheetId="1" r:id="rId2"/>
    <sheet name="Triangle" sheetId="4" r:id="rId3"/>
    <sheet name="Factors" sheetId="5" r:id="rId4"/>
    <sheet name="Chain Ladder" sheetId="6" r:id="rId5"/>
    <sheet name="BF" sheetId="7" r:id="rId6"/>
    <sheet name="Comparison" sheetId="8" r:id="rId7"/>
    <sheet name="Sensitivity" sheetId="9" r:id="rId8"/>
  </sheets>
  <definedNames>
    <definedName name="_xlcn.WorksheetConnection_Book1Table11" hidden="1">Table1[]</definedName>
    <definedName name="_xlnm.Print_Area" localSheetId="6">Comparison!$A$1:$Q$18</definedName>
  </definedNames>
  <calcPr calcId="191029"/>
  <pivotCaches>
    <pivotCache cacheId="0"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2" i="7" l="1"/>
  <c r="B12" i="7"/>
  <c r="G12" i="7"/>
  <c r="I12" i="7"/>
  <c r="H12" i="7"/>
  <c r="B15" i="5"/>
  <c r="C15" i="5"/>
  <c r="D15" i="5"/>
  <c r="E15" i="5"/>
  <c r="F15" i="5"/>
  <c r="G15" i="5"/>
  <c r="H15" i="5"/>
  <c r="I15" i="5"/>
  <c r="J15" i="5"/>
  <c r="C11" i="9" a="1"/>
  <c r="C11" i="9" s="1"/>
  <c r="B11" i="9" a="1"/>
  <c r="B11" i="9" s="1"/>
  <c r="C10" i="9" a="1"/>
  <c r="C10" i="9" s="1"/>
  <c r="B10" i="9" a="1"/>
  <c r="B10" i="9" s="1"/>
  <c r="C9" i="9" a="1"/>
  <c r="C9" i="9" s="1"/>
  <c r="B9" i="9" a="1"/>
  <c r="B9" i="9" s="1"/>
  <c r="C8" i="9" a="1"/>
  <c r="C8" i="9" s="1"/>
  <c r="B8" i="9" a="1"/>
  <c r="B8" i="9" s="1"/>
  <c r="C7" i="9" a="1"/>
  <c r="C7" i="9" s="1"/>
  <c r="B7" i="9" a="1"/>
  <c r="B7" i="9" s="1"/>
  <c r="C6" i="9" a="1"/>
  <c r="C6" i="9" s="1"/>
  <c r="B6" i="9" a="1"/>
  <c r="B6" i="9" s="1"/>
  <c r="C5" i="9" a="1"/>
  <c r="C5" i="9" s="1"/>
  <c r="B5" i="9" a="1"/>
  <c r="B5" i="9" s="1"/>
  <c r="C4" i="9" a="1"/>
  <c r="C4" i="9" s="1"/>
  <c r="B4" i="9" a="1"/>
  <c r="B4" i="9" s="1"/>
  <c r="C3" i="9" a="1"/>
  <c r="C3" i="9" s="1"/>
  <c r="B3" i="9" a="1"/>
  <c r="B3" i="9" s="1"/>
  <c r="C2" i="9" a="1"/>
  <c r="C2" i="9" s="1"/>
  <c r="D2" i="9" s="1"/>
  <c r="B2" i="9" a="1"/>
  <c r="B2" i="9" s="1"/>
  <c r="G3" i="7" a="1"/>
  <c r="G3" i="7" s="1"/>
  <c r="G4" i="7" a="1"/>
  <c r="G4" i="7" s="1"/>
  <c r="G5" i="7" a="1"/>
  <c r="G5" i="7" s="1"/>
  <c r="G6" i="7" a="1"/>
  <c r="G6" i="7" s="1"/>
  <c r="G7" i="7" a="1"/>
  <c r="G7" i="7" s="1"/>
  <c r="G8" i="7" a="1"/>
  <c r="G8" i="7" s="1"/>
  <c r="G9" i="7" a="1"/>
  <c r="G9" i="7" s="1"/>
  <c r="G10" i="7" a="1"/>
  <c r="G10" i="7" s="1"/>
  <c r="G11" i="7" a="1"/>
  <c r="G11" i="7" s="1"/>
  <c r="G2" i="7" a="1"/>
  <c r="G2" i="7" s="1"/>
  <c r="B3" i="7"/>
  <c r="B4" i="7"/>
  <c r="B5" i="7"/>
  <c r="B6" i="7"/>
  <c r="B7" i="7"/>
  <c r="B8" i="7"/>
  <c r="B9" i="7"/>
  <c r="B10" i="7"/>
  <c r="B11" i="7"/>
  <c r="B2" i="7"/>
  <c r="C3" i="6" a="1"/>
  <c r="C3" i="6" s="1"/>
  <c r="C4" i="6" a="1"/>
  <c r="C4" i="6" s="1"/>
  <c r="C5" i="6" a="1"/>
  <c r="C5" i="6" s="1"/>
  <c r="C6" i="6" a="1"/>
  <c r="C6" i="6" s="1"/>
  <c r="C7" i="6" a="1"/>
  <c r="C7" i="6" s="1"/>
  <c r="C8" i="6" a="1"/>
  <c r="C8" i="6" s="1"/>
  <c r="C9" i="6" a="1"/>
  <c r="C9" i="6" s="1"/>
  <c r="C10" i="6" a="1"/>
  <c r="C10" i="6" s="1"/>
  <c r="C11" i="6" a="1"/>
  <c r="C11" i="6" s="1"/>
  <c r="C2" i="6" a="1"/>
  <c r="C2" i="6" s="1"/>
  <c r="D2" i="6" s="1"/>
  <c r="E2" i="7" s="1"/>
  <c r="F2" i="7" s="1"/>
  <c r="B3" i="6" a="1"/>
  <c r="B3" i="6" s="1"/>
  <c r="B4" i="6" a="1"/>
  <c r="B4" i="6" s="1"/>
  <c r="B5" i="6" a="1"/>
  <c r="B5" i="6" s="1"/>
  <c r="B6" i="6" a="1"/>
  <c r="B6" i="6" s="1"/>
  <c r="B7" i="6" a="1"/>
  <c r="B7" i="6" s="1"/>
  <c r="B8" i="6" a="1"/>
  <c r="B8" i="6" s="1"/>
  <c r="B9" i="6" a="1"/>
  <c r="B9" i="6" s="1"/>
  <c r="B10" i="6" a="1"/>
  <c r="B10" i="6" s="1"/>
  <c r="B11" i="6" a="1"/>
  <c r="B11" i="6" s="1"/>
  <c r="B2" i="6" a="1"/>
  <c r="B2" i="6" s="1"/>
  <c r="B6" i="5"/>
  <c r="C6" i="5"/>
  <c r="D6" i="5"/>
  <c r="E6" i="5"/>
  <c r="F6" i="5"/>
  <c r="G6" i="5"/>
  <c r="H6" i="5"/>
  <c r="I6" i="5"/>
  <c r="J6" i="5"/>
  <c r="B7" i="5"/>
  <c r="C7" i="5"/>
  <c r="D7" i="5"/>
  <c r="D14" i="5" s="1"/>
  <c r="E7" i="5"/>
  <c r="F7" i="5"/>
  <c r="G7" i="5"/>
  <c r="H7" i="5"/>
  <c r="I7" i="5"/>
  <c r="J7" i="5"/>
  <c r="B8" i="5"/>
  <c r="C8" i="5"/>
  <c r="D8" i="5"/>
  <c r="E8" i="5"/>
  <c r="F8" i="5"/>
  <c r="G8" i="5"/>
  <c r="H8" i="5"/>
  <c r="I8" i="5"/>
  <c r="J8" i="5"/>
  <c r="B9" i="5"/>
  <c r="C9" i="5"/>
  <c r="D9" i="5"/>
  <c r="E9" i="5"/>
  <c r="F9" i="5"/>
  <c r="G9" i="5"/>
  <c r="H9" i="5"/>
  <c r="I9" i="5"/>
  <c r="J9" i="5"/>
  <c r="B10" i="5"/>
  <c r="C10" i="5"/>
  <c r="D10" i="5"/>
  <c r="E10" i="5"/>
  <c r="F10" i="5"/>
  <c r="G10" i="5"/>
  <c r="H10" i="5"/>
  <c r="I10" i="5"/>
  <c r="J10" i="5"/>
  <c r="B11" i="5"/>
  <c r="C11" i="5"/>
  <c r="D11" i="5"/>
  <c r="E11" i="5"/>
  <c r="F11" i="5"/>
  <c r="G11" i="5"/>
  <c r="H11" i="5"/>
  <c r="I11" i="5"/>
  <c r="J11" i="5"/>
  <c r="B12" i="5"/>
  <c r="C12" i="5"/>
  <c r="D12" i="5"/>
  <c r="E12" i="5"/>
  <c r="F12" i="5"/>
  <c r="G12" i="5"/>
  <c r="H12" i="5"/>
  <c r="I12" i="5"/>
  <c r="J12" i="5"/>
  <c r="B13" i="5"/>
  <c r="C13" i="5"/>
  <c r="D13" i="5"/>
  <c r="E13" i="5"/>
  <c r="F13" i="5"/>
  <c r="G13" i="5"/>
  <c r="H13" i="5"/>
  <c r="I13" i="5"/>
  <c r="J13" i="5"/>
  <c r="C5" i="5"/>
  <c r="C14" i="5" s="1"/>
  <c r="D5" i="5"/>
  <c r="E5" i="5"/>
  <c r="E14" i="5" s="1"/>
  <c r="F5" i="5"/>
  <c r="F14" i="5" s="1"/>
  <c r="G5" i="5"/>
  <c r="G14" i="5" s="1"/>
  <c r="H5" i="5"/>
  <c r="H14" i="5" s="1"/>
  <c r="I5" i="5"/>
  <c r="I14" i="5" s="1"/>
  <c r="J5" i="5"/>
  <c r="J14" i="5" s="1"/>
  <c r="B5" i="5"/>
  <c r="B14" i="5"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J19" i="5" l="1"/>
  <c r="I19" i="5"/>
  <c r="H19" i="5" s="1"/>
  <c r="G19" i="5" s="1"/>
  <c r="B12" i="9"/>
  <c r="B12" i="6"/>
  <c r="D3" i="6"/>
  <c r="E3" i="7" s="1"/>
  <c r="F3" i="7" s="1"/>
  <c r="F19" i="5"/>
  <c r="D6" i="6"/>
  <c r="E6" i="7" s="1"/>
  <c r="F6" i="7" s="1"/>
  <c r="D4" i="6"/>
  <c r="E4" i="7" s="1"/>
  <c r="F4" i="7" s="1"/>
  <c r="D5" i="6"/>
  <c r="E5" i="7" s="1"/>
  <c r="F5" i="7" s="1"/>
  <c r="E2" i="9"/>
  <c r="E2" i="6"/>
  <c r="J20" i="5"/>
  <c r="D3" i="9" s="1"/>
  <c r="E3" i="9" s="1"/>
  <c r="F3" i="9" s="1"/>
  <c r="E3" i="6" l="1"/>
  <c r="F2" i="6"/>
  <c r="B2" i="8"/>
  <c r="E4" i="6"/>
  <c r="E5" i="6"/>
  <c r="E6" i="6"/>
  <c r="E19" i="5"/>
  <c r="D7" i="6"/>
  <c r="F3" i="6"/>
  <c r="C3" i="8" s="1"/>
  <c r="B3" i="8"/>
  <c r="I20" i="5"/>
  <c r="F2" i="9"/>
  <c r="C6" i="7" l="1" a="1"/>
  <c r="C6" i="7" s="1"/>
  <c r="D6" i="7" s="1"/>
  <c r="H6" i="7" s="1"/>
  <c r="C11" i="7" a="1"/>
  <c r="C11" i="7" s="1"/>
  <c r="D11" i="7" s="1"/>
  <c r="C4" i="7" a="1"/>
  <c r="C4" i="7" s="1"/>
  <c r="D4" i="7" s="1"/>
  <c r="H4" i="7" s="1"/>
  <c r="I4" i="7" s="1"/>
  <c r="E4" i="8" s="1"/>
  <c r="C3" i="7" a="1"/>
  <c r="C3" i="7" s="1"/>
  <c r="D3" i="7" s="1"/>
  <c r="H3" i="7" s="1"/>
  <c r="I3" i="7" s="1"/>
  <c r="E3" i="8" s="1"/>
  <c r="F3" i="8" s="1"/>
  <c r="G3" i="8" s="1"/>
  <c r="C9" i="7" a="1"/>
  <c r="C9" i="7" s="1"/>
  <c r="D9" i="7" s="1"/>
  <c r="C5" i="7" a="1"/>
  <c r="C5" i="7" s="1"/>
  <c r="D5" i="7" s="1"/>
  <c r="H5" i="7" s="1"/>
  <c r="I5" i="7" s="1"/>
  <c r="E5" i="8" s="1"/>
  <c r="C2" i="7" a="1"/>
  <c r="C2" i="7" s="1"/>
  <c r="D2" i="7" s="1"/>
  <c r="H2" i="7" s="1"/>
  <c r="D2" i="8" s="1"/>
  <c r="H20" i="5"/>
  <c r="D4" i="9"/>
  <c r="E4" i="9" s="1"/>
  <c r="D19" i="5"/>
  <c r="D8" i="6"/>
  <c r="C10" i="7" a="1"/>
  <c r="C10" i="7" s="1"/>
  <c r="D10" i="7" s="1"/>
  <c r="I6" i="7"/>
  <c r="E6" i="8" s="1"/>
  <c r="D6" i="8"/>
  <c r="D3" i="8"/>
  <c r="E7" i="7"/>
  <c r="F7" i="7" s="1"/>
  <c r="E7" i="6"/>
  <c r="F6" i="6"/>
  <c r="C6" i="8" s="1"/>
  <c r="B6" i="8"/>
  <c r="F4" i="6"/>
  <c r="C4" i="8" s="1"/>
  <c r="B4" i="8"/>
  <c r="C8" i="7" a="1"/>
  <c r="C8" i="7" s="1"/>
  <c r="D8" i="7" s="1"/>
  <c r="D4" i="8"/>
  <c r="F5" i="6"/>
  <c r="C5" i="8" s="1"/>
  <c r="B5" i="8"/>
  <c r="C7" i="7" a="1"/>
  <c r="C7" i="7" s="1"/>
  <c r="D7" i="7" s="1"/>
  <c r="C2" i="8"/>
  <c r="D5" i="8" l="1"/>
  <c r="F5" i="8"/>
  <c r="G5" i="8" s="1"/>
  <c r="I2" i="7"/>
  <c r="E2" i="8" s="1"/>
  <c r="F4" i="8"/>
  <c r="G4" i="8" s="1"/>
  <c r="F6" i="8"/>
  <c r="G6" i="8" s="1"/>
  <c r="E8" i="7"/>
  <c r="F8" i="7" s="1"/>
  <c r="H8" i="7" s="1"/>
  <c r="E8" i="6"/>
  <c r="F2" i="8"/>
  <c r="G2" i="8" s="1"/>
  <c r="C19" i="5"/>
  <c r="D9" i="6"/>
  <c r="H7" i="7"/>
  <c r="F4" i="9"/>
  <c r="F7" i="6"/>
  <c r="C7" i="8" s="1"/>
  <c r="B7" i="8"/>
  <c r="G20" i="5"/>
  <c r="D5" i="9"/>
  <c r="E5" i="9" s="1"/>
  <c r="F5" i="9" s="1"/>
  <c r="I8" i="7" l="1"/>
  <c r="E8" i="8" s="1"/>
  <c r="D8" i="8"/>
  <c r="E9" i="7"/>
  <c r="F9" i="7" s="1"/>
  <c r="H9" i="7" s="1"/>
  <c r="E9" i="6"/>
  <c r="I7" i="7"/>
  <c r="E7" i="8" s="1"/>
  <c r="D7" i="8"/>
  <c r="B19" i="5"/>
  <c r="D11" i="6" s="1"/>
  <c r="D10" i="6"/>
  <c r="F20" i="5"/>
  <c r="D6" i="9"/>
  <c r="E6" i="9" s="1"/>
  <c r="F6" i="9" s="1"/>
  <c r="F8" i="6"/>
  <c r="C8" i="8" s="1"/>
  <c r="B8" i="8"/>
  <c r="E20" i="5" l="1"/>
  <c r="D7" i="9"/>
  <c r="E7" i="9" s="1"/>
  <c r="F7" i="9" s="1"/>
  <c r="I9" i="7"/>
  <c r="E9" i="8" s="1"/>
  <c r="D9" i="8"/>
  <c r="E11" i="7"/>
  <c r="F11" i="7" s="1"/>
  <c r="H11" i="7" s="1"/>
  <c r="E11" i="6"/>
  <c r="F9" i="6"/>
  <c r="C9" i="8" s="1"/>
  <c r="B9" i="8"/>
  <c r="E10" i="7"/>
  <c r="F10" i="7" s="1"/>
  <c r="H10" i="7" s="1"/>
  <c r="E10" i="6"/>
  <c r="E12" i="6" s="1"/>
  <c r="F7" i="8"/>
  <c r="G7" i="8" s="1"/>
  <c r="F8" i="8"/>
  <c r="G8" i="8" s="1"/>
  <c r="F11" i="6" l="1"/>
  <c r="C11" i="8" s="1"/>
  <c r="B11" i="8"/>
  <c r="I11" i="7"/>
  <c r="E11" i="8" s="1"/>
  <c r="F11" i="8" s="1"/>
  <c r="G11" i="8" s="1"/>
  <c r="D11" i="8"/>
  <c r="F9" i="8"/>
  <c r="G9" i="8" s="1"/>
  <c r="F10" i="6"/>
  <c r="C10" i="8" s="1"/>
  <c r="B10" i="8"/>
  <c r="D20" i="5"/>
  <c r="D8" i="9"/>
  <c r="E8" i="9" s="1"/>
  <c r="I10" i="7"/>
  <c r="E10" i="8" s="1"/>
  <c r="D10" i="8"/>
  <c r="C12" i="8" l="1"/>
  <c r="C20" i="5"/>
  <c r="D9" i="9"/>
  <c r="E9" i="9" s="1"/>
  <c r="F9" i="9" s="1"/>
  <c r="F8" i="9"/>
  <c r="F12" i="6"/>
  <c r="B16" i="9" s="1"/>
  <c r="F10" i="8"/>
  <c r="G10" i="8" s="1"/>
  <c r="E12" i="8"/>
  <c r="G12" i="8" s="1"/>
  <c r="B20" i="5" l="1"/>
  <c r="D11" i="9" s="1"/>
  <c r="E11" i="9" s="1"/>
  <c r="F11" i="9" s="1"/>
  <c r="D10" i="9"/>
  <c r="E10" i="9" s="1"/>
  <c r="F10" i="9" l="1"/>
  <c r="E12" i="9"/>
  <c r="F12" i="9"/>
  <c r="B17" i="9" s="1"/>
  <c r="D17" i="9" l="1"/>
  <c r="C1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A2FB36-EB6D-4927-A5DB-6ADD47CA46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250131-6503-41ED-A16C-1679A7D1D89C}"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Table1].[IsKnown].&amp;[Known]}"/>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<sst xmlns="http://schemas.openxmlformats.org/spreadsheetml/2006/main" count="190" uniqueCount="71">
  <si>
    <t>GRCODE</t>
  </si>
  <si>
    <t>GRNAME</t>
  </si>
  <si>
    <t>AccidentYear</t>
  </si>
  <si>
    <t>DevelopmentYear</t>
  </si>
  <si>
    <t>DevelopmentLag</t>
  </si>
  <si>
    <t>Single</t>
  </si>
  <si>
    <t>Tenn Farmers Mut</t>
  </si>
  <si>
    <t>Accident Year</t>
  </si>
  <si>
    <t>IsKnown</t>
  </si>
  <si>
    <t>Known</t>
  </si>
  <si>
    <t>Age-to-age factors</t>
  </si>
  <si>
    <r>
      <t>1</t>
    </r>
    <r>
      <rPr>
        <sz val="11"/>
        <color theme="1"/>
        <rFont val="Aptos Narrow"/>
        <family val="2"/>
      </rPr>
      <t>→2</t>
    </r>
  </si>
  <si>
    <r>
      <t>2</t>
    </r>
    <r>
      <rPr>
        <sz val="11"/>
        <color theme="1"/>
        <rFont val="Aptos Narrow"/>
        <family val="2"/>
      </rPr>
      <t>→3</t>
    </r>
  </si>
  <si>
    <t>3→4</t>
  </si>
  <si>
    <t>4→5</t>
  </si>
  <si>
    <t>5→6</t>
  </si>
  <si>
    <t>6→7</t>
  </si>
  <si>
    <t>7→8</t>
  </si>
  <si>
    <t>8→9</t>
  </si>
  <si>
    <t>9→10</t>
  </si>
  <si>
    <t>Simple Average</t>
  </si>
  <si>
    <t>Volume-Weighted Average</t>
  </si>
  <si>
    <t>Lag</t>
  </si>
  <si>
    <t>Age (Lag)</t>
  </si>
  <si>
    <t>Total</t>
  </si>
  <si>
    <t>ELR</t>
  </si>
  <si>
    <t>% Unreported</t>
  </si>
  <si>
    <t>% Diff</t>
  </si>
  <si>
    <t>Volume-Weighted CDF</t>
  </si>
  <si>
    <t>Simple CDF</t>
  </si>
  <si>
    <t>Scenario</t>
  </si>
  <si>
    <t>Volume-Weighted</t>
  </si>
  <si>
    <t>% Diff vs Primary</t>
  </si>
  <si>
    <t>Development Lag</t>
  </si>
  <si>
    <t>Personal Auto Loss Reserving Model</t>
  </si>
  <si>
    <t>Overview</t>
  </si>
  <si>
    <t>Data</t>
  </si>
  <si>
    <t>Chain Ladder Methodology</t>
  </si>
  <si>
    <t>Bornhuetter-Ferguson Methodology</t>
  </si>
  <si>
    <t>Comparison</t>
  </si>
  <si>
    <t>Sensitivity Analysis</t>
  </si>
  <si>
    <t>Limitations</t>
  </si>
  <si>
    <t>This workbook estimates unpaid loss reserves for a private passenger auto liability company using chain-ladder and Bornhuetter-Ferguson (BF) methods. Our models are based on 10 years of claims development data, with dollar amounts listed in thousands.</t>
  </si>
  <si>
    <t>IncurredLosses (in thousands)</t>
  </si>
  <si>
    <t>CumPaidLoss (in thousands)</t>
  </si>
  <si>
    <t>BulkLoss (in thousands)</t>
  </si>
  <si>
    <t>EarnedPremDIR (in thousands)</t>
  </si>
  <si>
    <t>EarnedPremCeded (in thousands)</t>
  </si>
  <si>
    <t>EarnedPremNet (in thousands)</t>
  </si>
  <si>
    <t>PostedReserves2007 (in thousands)</t>
  </si>
  <si>
    <t>Paid Loss (in thousands)</t>
  </si>
  <si>
    <t>Latest Diagonal (Paid) (in thousands)</t>
  </si>
  <si>
    <t>Projected Ultimate (in thousands)</t>
  </si>
  <si>
    <t>IBNR (in thousands)</t>
  </si>
  <si>
    <t>Expected Losses (in thousands)</t>
  </si>
  <si>
    <t>Latest Diagonal (in thousands)</t>
  </si>
  <si>
    <t>BF Ultimate (in thousands)</t>
  </si>
  <si>
    <t>BF IBNR (in thousands)</t>
  </si>
  <si>
    <t>CL Ultimate (in thousands)</t>
  </si>
  <si>
    <t>CL IBNR (in thousands)</t>
  </si>
  <si>
    <t>$ Diff (BF-CL) (in thousands)</t>
  </si>
  <si>
    <t>Total IBNR (in thousands)</t>
  </si>
  <si>
    <t>$ Diff vs Primary (in thousands)</t>
  </si>
  <si>
    <t>We sourced our data from the CAS-hosted NAIC Schedule P dataset. This set contains private passenger auto liability/medical information with claims between the years 1998-2007. From this dataset, we chose to focus on one specific company, Tennessee Farmers Mutual (GRCODE 6947). Tennessee Farmers was chosen as a mid-size regional writer that had ~$252M premium and a monotonic development pattern. For this reserving project, we used the cumulative paid losses for each accident year to calculate the expected unpaid loss reserves for recent and present years.</t>
  </si>
  <si>
    <t>After running both the chain-ladder and BF method, we graphed the IBNR of the two for each accident year. As seen in the table accompanying the graph, both methods produce closely aligned results (within 1.3% of each other) with BF showing slightly lower figures. This does appear to be consistent with the BF's expected effect on the least mature accident years.</t>
  </si>
  <si>
    <t>Our final test in this project was a comparison between using the volume-weighted CDFs and simple average CDFs. After running the simple average CDF methods, we found that there was only a 0.24% difference in total IBNR between the two methods. This shows that our reserve estimates aren't highly sensitive to our volume-weighted CDF assumption.</t>
  </si>
  <si>
    <t>To start, we built a 10x10 claims development triangle and calculated the age-to-age factors for each accident year. We calculated both the volume-weighted average and simple average for each age-to-age band. Then, we selected the volume-weighted average as the basis for our future calculations as this is the standard approach and reduces the influence of smaller or noisier years. After that, we computed the cumulative development factors (CDFs) and applied these to the latest diagonal to project the ultimates and IBNR. This resulted in $146.10M total indicated IBNR.</t>
  </si>
  <si>
    <t>After using the Chain-Ladder method, we also computed the IBNR using the BF method. This stabilizes the estimates for less mature accident years (like 2005-2007) as these are more sensitive to noise in the chain-ladder approach. In order to use the BF method, we first needed to calculate the expected loss ratio (ELR). To obtain this, we averaged the chain-ladder-implied loss ratios from the most mature accident years which resulted in a value of 0.7466. After carrying out the BF method with our ELR, we got a result of $144.22M total indicated IBNR.</t>
  </si>
  <si>
    <t>Conclusion</t>
  </si>
  <si>
    <t xml:space="preserve">There were a few limitations in this project. To start, this project is only for a single company compared to the entire private passenger auto industry. This project also does not consider case reserve development separately from paid case development. Finally, our ELR was derived from our data rather than externally validated. In real-world scenarios, ELRs are subject to change year-over-year. </t>
  </si>
  <si>
    <t>Overall, the close alignment between the chain-ladder and BF estimates and the low sensitivity to factor selection supports our figures in the $144M-$146M reserve range as a reasonable estimation.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</si>
</sst>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font>
    <font>
      <sz val="11"/>
      <color rgb="FF0000FF"/>
      <name val="Aptos Narrow"/>
      <family val="2"/>
      <scheme val="minor"/>
    </font>
    <font>
      <sz val="11"/>
      <color rgb="FF008000"/>
      <name val="Aptos Narrow"/>
      <family val="2"/>
      <scheme val="minor"/>
    </font>
    <font>
      <b/>
      <sz val="16"/>
      <color theme="1"/>
      <name val="Aptos Narrow"/>
      <family val="2"/>
      <scheme val="minor"/>
    </font>
    <font>
      <b/>
      <sz val="14"/>
      <color theme="1"/>
      <name val="Aptos Narrow"/>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9">
    <xf numFmtId="0" fontId="0" fillId="0" borderId="0" xfId="0"/>
    <xf numFmtId="0" fontId="0" fillId="0" borderId="3" xfId="0" applyBorder="1"/>
    <xf numFmtId="0" fontId="0" fillId="0" borderId="5" xfId="0" applyBorder="1"/>
    <xf numFmtId="0" fontId="0" fillId="0" borderId="6" xfId="0" applyBorder="1"/>
    <xf numFmtId="0" fontId="0" fillId="0" borderId="0" xfId="0" pivotButton="1"/>
    <xf numFmtId="164" fontId="0" fillId="0" borderId="0" xfId="0" applyNumberFormat="1"/>
    <xf numFmtId="0" fontId="5" fillId="0" borderId="0" xfId="0" applyFont="1"/>
    <xf numFmtId="44" fontId="5" fillId="0" borderId="0" xfId="1" applyFont="1"/>
    <xf numFmtId="43" fontId="0" fillId="0" borderId="0" xfId="0" applyNumberFormat="1"/>
    <xf numFmtId="0" fontId="0" fillId="0" borderId="9" xfId="0" applyBorder="1"/>
    <xf numFmtId="0" fontId="0" fillId="0" borderId="8" xfId="0" applyBorder="1"/>
    <xf numFmtId="0" fontId="0" fillId="0" borderId="7" xfId="0" applyBorder="1"/>
    <xf numFmtId="164" fontId="6" fillId="0" borderId="0" xfId="0" applyNumberFormat="1" applyFont="1"/>
    <xf numFmtId="164" fontId="0" fillId="0" borderId="1" xfId="0" applyNumberFormat="1" applyBorder="1"/>
    <xf numFmtId="164" fontId="0" fillId="0" borderId="3" xfId="0" applyNumberFormat="1" applyBorder="1"/>
    <xf numFmtId="164" fontId="6" fillId="0" borderId="1" xfId="0" applyNumberFormat="1" applyFont="1" applyBorder="1"/>
    <xf numFmtId="164" fontId="6" fillId="0" borderId="10" xfId="0" applyNumberFormat="1" applyFont="1" applyBorder="1"/>
    <xf numFmtId="164" fontId="6" fillId="0" borderId="11" xfId="0" applyNumberFormat="1" applyFont="1" applyBorder="1"/>
    <xf numFmtId="164" fontId="6" fillId="0" borderId="3" xfId="0" applyNumberFormat="1" applyFont="1" applyBorder="1"/>
    <xf numFmtId="164" fontId="6" fillId="0" borderId="12" xfId="0" applyNumberFormat="1" applyFont="1" applyBorder="1"/>
    <xf numFmtId="164" fontId="6" fillId="0" borderId="4" xfId="0" applyNumberFormat="1" applyFont="1" applyBorder="1"/>
    <xf numFmtId="164" fontId="6" fillId="0" borderId="2" xfId="0" applyNumberFormat="1" applyFont="1" applyBorder="1"/>
    <xf numFmtId="164" fontId="6" fillId="0" borderId="13" xfId="0" applyNumberFormat="1" applyFont="1" applyBorder="1"/>
    <xf numFmtId="164" fontId="0" fillId="0" borderId="4" xfId="0" applyNumberFormat="1" applyBorder="1"/>
    <xf numFmtId="164" fontId="0" fillId="0" borderId="2" xfId="0" applyNumberFormat="1" applyBorder="1"/>
    <xf numFmtId="0" fontId="0" fillId="0" borderId="15" xfId="0" applyBorder="1"/>
    <xf numFmtId="0" fontId="0" fillId="0" borderId="16" xfId="0" applyBorder="1"/>
    <xf numFmtId="0" fontId="4" fillId="0" borderId="5" xfId="0" applyFont="1" applyBorder="1"/>
    <xf numFmtId="44" fontId="6" fillId="0" borderId="1" xfId="1" applyFont="1" applyBorder="1"/>
    <xf numFmtId="0" fontId="6" fillId="0" borderId="1" xfId="0" applyFont="1" applyBorder="1"/>
    <xf numFmtId="44" fontId="0" fillId="0" borderId="1" xfId="1" applyFont="1" applyBorder="1"/>
    <xf numFmtId="44" fontId="6" fillId="0" borderId="3" xfId="1" applyFont="1" applyBorder="1"/>
    <xf numFmtId="0" fontId="6" fillId="0" borderId="3" xfId="0" applyFont="1" applyBorder="1"/>
    <xf numFmtId="44" fontId="0" fillId="0" borderId="3" xfId="1" applyFont="1" applyBorder="1"/>
    <xf numFmtId="44" fontId="6" fillId="0" borderId="4" xfId="1" applyFont="1" applyBorder="1"/>
    <xf numFmtId="44" fontId="6" fillId="0" borderId="2" xfId="1" applyFont="1" applyBorder="1"/>
    <xf numFmtId="44" fontId="0" fillId="0" borderId="2" xfId="1" applyFont="1" applyBorder="1"/>
    <xf numFmtId="44" fontId="6" fillId="0" borderId="17" xfId="1" applyFont="1" applyBorder="1"/>
    <xf numFmtId="0" fontId="6" fillId="0" borderId="10" xfId="0" applyFont="1" applyBorder="1"/>
    <xf numFmtId="44" fontId="0" fillId="0" borderId="10" xfId="1" applyFont="1" applyBorder="1"/>
    <xf numFmtId="0" fontId="2" fillId="0" borderId="5" xfId="0" applyFont="1" applyBorder="1"/>
    <xf numFmtId="44" fontId="2" fillId="0" borderId="4" xfId="1" applyFont="1" applyBorder="1"/>
    <xf numFmtId="0" fontId="2" fillId="0" borderId="3" xfId="0" applyFont="1" applyBorder="1"/>
    <xf numFmtId="44" fontId="2" fillId="0" borderId="3" xfId="1" applyFont="1" applyBorder="1"/>
    <xf numFmtId="0" fontId="0" fillId="0" borderId="0" xfId="0" applyAlignment="1">
      <alignment vertical="top"/>
    </xf>
    <xf numFmtId="164" fontId="5" fillId="0" borderId="3" xfId="0" applyNumberFormat="1" applyFont="1" applyBorder="1"/>
    <xf numFmtId="164" fontId="5" fillId="0" borderId="1" xfId="0" applyNumberFormat="1" applyFont="1" applyBorder="1"/>
    <xf numFmtId="10" fontId="0" fillId="0" borderId="3" xfId="2" applyNumberFormat="1" applyFont="1" applyBorder="1"/>
    <xf numFmtId="10" fontId="0" fillId="0" borderId="1" xfId="2" applyNumberFormat="1" applyFont="1" applyBorder="1"/>
    <xf numFmtId="10" fontId="0" fillId="0" borderId="1" xfId="2" applyNumberFormat="1" applyFont="1" applyBorder="1" applyAlignment="1"/>
    <xf numFmtId="10" fontId="0" fillId="0" borderId="3" xfId="2" applyNumberFormat="1" applyFont="1" applyBorder="1" applyAlignment="1"/>
    <xf numFmtId="10" fontId="0" fillId="0" borderId="19" xfId="2" applyNumberFormat="1" applyFont="1" applyBorder="1" applyAlignment="1"/>
    <xf numFmtId="0" fontId="2" fillId="0" borderId="20" xfId="0" applyFont="1" applyBorder="1"/>
    <xf numFmtId="0" fontId="2" fillId="0" borderId="21" xfId="0" applyFont="1" applyBorder="1"/>
    <xf numFmtId="0" fontId="2" fillId="0" borderId="22" xfId="0" applyFont="1" applyBorder="1"/>
    <xf numFmtId="44" fontId="6" fillId="0" borderId="4" xfId="1" applyFont="1" applyBorder="1" applyAlignment="1"/>
    <xf numFmtId="44" fontId="6" fillId="0" borderId="3" xfId="1" applyFont="1" applyBorder="1" applyAlignment="1"/>
    <xf numFmtId="44" fontId="0" fillId="0" borderId="3" xfId="1" applyFont="1" applyBorder="1" applyAlignment="1"/>
    <xf numFmtId="44" fontId="6" fillId="0" borderId="2" xfId="1" applyFont="1" applyBorder="1" applyAlignment="1"/>
    <xf numFmtId="44" fontId="6" fillId="0" borderId="1" xfId="1" applyFont="1" applyBorder="1" applyAlignment="1"/>
    <xf numFmtId="44" fontId="0" fillId="0" borderId="1" xfId="1" applyFont="1" applyBorder="1" applyAlignment="1"/>
    <xf numFmtId="44" fontId="6" fillId="0" borderId="18" xfId="1" applyFont="1" applyBorder="1" applyAlignment="1"/>
    <xf numFmtId="44" fontId="6" fillId="0" borderId="19" xfId="1" applyFont="1" applyBorder="1" applyAlignment="1"/>
    <xf numFmtId="44" fontId="0" fillId="0" borderId="19" xfId="1" applyFont="1" applyBorder="1" applyAlignment="1"/>
    <xf numFmtId="10" fontId="2" fillId="0" borderId="21" xfId="2" applyNumberFormat="1" applyFont="1" applyBorder="1" applyAlignment="1"/>
    <xf numFmtId="44" fontId="2" fillId="0" borderId="21" xfId="1" applyFont="1" applyBorder="1" applyAlignment="1"/>
    <xf numFmtId="0" fontId="0" fillId="0" borderId="0" xfId="0" applyAlignment="1">
      <alignment wrapText="1"/>
    </xf>
    <xf numFmtId="0" fontId="0" fillId="0" borderId="0" xfId="0" applyAlignment="1"/>
    <xf numFmtId="0" fontId="7" fillId="0" borderId="0" xfId="0" applyFont="1" applyAlignment="1">
      <alignment horizontal="center" wrapText="1"/>
    </xf>
    <xf numFmtId="44" fontId="0" fillId="0" borderId="2" xfId="0" applyNumberFormat="1" applyBorder="1"/>
    <xf numFmtId="44" fontId="0" fillId="0" borderId="1" xfId="0" applyNumberFormat="1" applyBorder="1"/>
    <xf numFmtId="44" fontId="0" fillId="0" borderId="11" xfId="0" applyNumberFormat="1" applyBorder="1"/>
    <xf numFmtId="0" fontId="8" fillId="0" borderId="0" xfId="0" applyFont="1" applyAlignment="1">
      <alignment wrapText="1"/>
    </xf>
    <xf numFmtId="164" fontId="5" fillId="0" borderId="10" xfId="0" applyNumberFormat="1" applyFont="1" applyBorder="1"/>
    <xf numFmtId="10" fontId="0" fillId="0" borderId="10" xfId="2" applyNumberFormat="1" applyFont="1" applyBorder="1"/>
    <xf numFmtId="44" fontId="6" fillId="0" borderId="10" xfId="1" applyFont="1" applyBorder="1"/>
    <xf numFmtId="0" fontId="2" fillId="0" borderId="14" xfId="0" applyFont="1" applyBorder="1"/>
    <xf numFmtId="44" fontId="2" fillId="0" borderId="4" xfId="0" applyNumberFormat="1" applyFont="1" applyBorder="1"/>
    <xf numFmtId="44" fontId="2" fillId="0" borderId="3" xfId="0" applyNumberFormat="1" applyFont="1" applyBorder="1"/>
  </cellXfs>
  <cellStyles count="3">
    <cellStyle name="Currency" xfId="1" builtinId="4"/>
    <cellStyle name="Normal" xfId="0" builtinId="0"/>
    <cellStyle name="Percent" xfId="2" builtinId="5"/>
  </cellStyles>
  <dxfs count="148">
    <dxf>
      <numFmt numFmtId="35" formatCode="_(* #,##0.00_);_(* \(#,##0.00\);_(* &quot;-&quot;??_);_(@_)"/>
    </dxf>
    <dxf>
      <border>
        <left style="medium">
          <color indexed="64"/>
        </left>
        <right style="medium">
          <color indexed="64"/>
        </right>
        <top style="medium">
          <color indexed="64"/>
        </top>
        <bottom style="medium">
          <color indexed="64"/>
        </bottom>
      </border>
    </dxf>
    <dxf>
      <border>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left/>
        <right/>
        <top/>
        <bottom/>
      </border>
    </dxf>
    <dxf>
      <border>
        <left/>
        <right/>
        <bottom/>
        <horizontal/>
      </border>
    </dxf>
    <dxf>
      <border>
        <left/>
        <right/>
        <bottom/>
        <horizontal/>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border>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right/>
        <bottom/>
        <horizontal/>
      </border>
    </dxf>
    <dxf>
      <border>
        <left/>
        <right/>
        <bottom/>
        <horizontal/>
      </border>
    </dxf>
    <dxf>
      <border>
        <left/>
        <right/>
        <top/>
        <bottom/>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right style="medium">
          <color indexed="64"/>
        </right>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border>
        <left style="medium">
          <color indexed="64"/>
        </left>
        <right style="medium">
          <color indexed="64"/>
        </right>
        <top style="medium">
          <color indexed="64"/>
        </top>
        <bottom style="medium">
          <color indexed="64"/>
        </bottom>
      </border>
    </dxf>
    <dxf>
      <numFmt numFmtId="35" formatCode="_(* #,##0.00_);_(* \(#,##0.00\);_(* &quot;-&quot;??_);_(@_)"/>
    </dxf>
    <dxf>
      <numFmt numFmtId="0" formatCode="General"/>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
      <font>
        <strike val="0"/>
        <outline val="0"/>
        <shadow val="0"/>
        <u val="none"/>
        <vertAlign val="baseline"/>
        <sz val="11"/>
        <color rgb="FF0000FF"/>
        <name val="Aptos Narrow"/>
        <family val="2"/>
        <scheme val="minor"/>
      </font>
    </dxf>
  </dxfs>
  <tableStyles count="0" defaultTableStyle="TableStyleMedium2" defaultPivotStyle="PivotStyleLight16"/>
  <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IBNR vs Accident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067134638623942"/>
          <c:y val="0.15642658164661932"/>
          <c:w val="0.7370543722605154"/>
          <c:h val="0.65685987168270632"/>
        </c:manualLayout>
      </c:layout>
      <c:lineChart>
        <c:grouping val="standard"/>
        <c:varyColors val="0"/>
        <c:ser>
          <c:idx val="0"/>
          <c:order val="0"/>
          <c:tx>
            <c:strRef>
              <c:f>Comparison!$C$1</c:f>
              <c:strCache>
                <c:ptCount val="1"/>
                <c:pt idx="0">
                  <c:v>CL IBNR (in thousands)</c:v>
                </c:pt>
              </c:strCache>
            </c:strRef>
          </c:tx>
          <c:spPr>
            <a:ln w="28575" cap="rnd">
              <a:solidFill>
                <a:schemeClr val="accent1"/>
              </a:solidFill>
              <a:round/>
            </a:ln>
            <a:effectLst/>
          </c:spPr>
          <c:marker>
            <c:symbol val="none"/>
          </c:marker>
          <c:cat>
            <c:numRef>
              <c:f>Comparison!$A$2:$A$11</c:f>
              <c:numCache>
                <c:formatCode>General</c:formatCode>
                <c:ptCount val="10"/>
                <c:pt idx="0">
                  <c:v>1998</c:v>
                </c:pt>
                <c:pt idx="1">
                  <c:v>1999</c:v>
                </c:pt>
                <c:pt idx="2">
                  <c:v>2000</c:v>
                </c:pt>
                <c:pt idx="3">
                  <c:v>2001</c:v>
                </c:pt>
                <c:pt idx="4">
                  <c:v>2002</c:v>
                </c:pt>
                <c:pt idx="5">
                  <c:v>2003</c:v>
                </c:pt>
                <c:pt idx="6">
                  <c:v>2004</c:v>
                </c:pt>
                <c:pt idx="7">
                  <c:v>2005</c:v>
                </c:pt>
                <c:pt idx="8">
                  <c:v>2006</c:v>
                </c:pt>
                <c:pt idx="9">
                  <c:v>2007</c:v>
                </c:pt>
              </c:numCache>
            </c:numRef>
          </c:cat>
          <c:val>
            <c:numRef>
              <c:f>Comparison!$C$2:$C$11</c:f>
              <c:numCache>
                <c:formatCode>_("$"* #,##0.00_);_("$"* \(#,##0.00\);_("$"* "-"??_);_(@_)</c:formatCode>
                <c:ptCount val="10"/>
                <c:pt idx="0">
                  <c:v>0</c:v>
                </c:pt>
                <c:pt idx="1">
                  <c:v>114.4333494794846</c:v>
                </c:pt>
                <c:pt idx="2">
                  <c:v>267.28372047707671</c:v>
                </c:pt>
                <c:pt idx="3">
                  <c:v>643.71747029395192</c:v>
                </c:pt>
                <c:pt idx="4">
                  <c:v>1207.970241521456</c:v>
                </c:pt>
                <c:pt idx="5">
                  <c:v>2841.5231812167622</c:v>
                </c:pt>
                <c:pt idx="6">
                  <c:v>6482.3102136768284</c:v>
                </c:pt>
                <c:pt idx="7">
                  <c:v>15006.16763233082</c:v>
                </c:pt>
                <c:pt idx="8">
                  <c:v>27958.213361967675</c:v>
                </c:pt>
                <c:pt idx="9">
                  <c:v>91576.730481650418</c:v>
                </c:pt>
              </c:numCache>
            </c:numRef>
          </c:val>
          <c:smooth val="0"/>
          <c:extLst>
            <c:ext xmlns:c16="http://schemas.microsoft.com/office/drawing/2014/chart" uri="{C3380CC4-5D6E-409C-BE32-E72D297353CC}">
              <c16:uniqueId val="{00000000-4AC3-44D8-99C7-926EC80F4212}"/>
            </c:ext>
          </c:extLst>
        </c:ser>
        <c:ser>
          <c:idx val="1"/>
          <c:order val="1"/>
          <c:tx>
            <c:v>BF IBNR</c:v>
          </c:tx>
          <c:spPr>
            <a:ln w="28575" cap="rnd">
              <a:solidFill>
                <a:schemeClr val="accent2"/>
              </a:solidFill>
              <a:round/>
            </a:ln>
            <a:effectLst/>
          </c:spPr>
          <c:marker>
            <c:symbol val="none"/>
          </c:marker>
          <c:cat>
            <c:numRef>
              <c:f>Comparison!$A$2:$A$11</c:f>
              <c:numCache>
                <c:formatCode>General</c:formatCode>
                <c:ptCount val="10"/>
                <c:pt idx="0">
                  <c:v>1998</c:v>
                </c:pt>
                <c:pt idx="1">
                  <c:v>1999</c:v>
                </c:pt>
                <c:pt idx="2">
                  <c:v>2000</c:v>
                </c:pt>
                <c:pt idx="3">
                  <c:v>2001</c:v>
                </c:pt>
                <c:pt idx="4">
                  <c:v>2002</c:v>
                </c:pt>
                <c:pt idx="5">
                  <c:v>2003</c:v>
                </c:pt>
                <c:pt idx="6">
                  <c:v>2004</c:v>
                </c:pt>
                <c:pt idx="7">
                  <c:v>2005</c:v>
                </c:pt>
                <c:pt idx="8">
                  <c:v>2006</c:v>
                </c:pt>
                <c:pt idx="9">
                  <c:v>2007</c:v>
                </c:pt>
              </c:numCache>
            </c:numRef>
          </c:cat>
          <c:val>
            <c:numRef>
              <c:f>Comparison!$E$2:$E$11</c:f>
              <c:numCache>
                <c:formatCode>_("$"* #,##0.00_);_("$"* \(#,##0.00\);_("$"* "-"??_);_(@_)</c:formatCode>
                <c:ptCount val="10"/>
                <c:pt idx="0">
                  <c:v>0</c:v>
                </c:pt>
                <c:pt idx="1">
                  <c:v>112.11459833942354</c:v>
                </c:pt>
                <c:pt idx="2">
                  <c:v>259.41467628392274</c:v>
                </c:pt>
                <c:pt idx="3">
                  <c:v>644.82956812970224</c:v>
                </c:pt>
                <c:pt idx="4">
                  <c:v>1228.9096131753759</c:v>
                </c:pt>
                <c:pt idx="5">
                  <c:v>2901.3012601071969</c:v>
                </c:pt>
                <c:pt idx="6">
                  <c:v>6148.7839130384673</c:v>
                </c:pt>
                <c:pt idx="7">
                  <c:v>14657.282561102998</c:v>
                </c:pt>
                <c:pt idx="8">
                  <c:v>30788.552311829088</c:v>
                </c:pt>
                <c:pt idx="9">
                  <c:v>87476.489858656016</c:v>
                </c:pt>
              </c:numCache>
            </c:numRef>
          </c:val>
          <c:smooth val="0"/>
          <c:extLst>
            <c:ext xmlns:c16="http://schemas.microsoft.com/office/drawing/2014/chart" uri="{C3380CC4-5D6E-409C-BE32-E72D297353CC}">
              <c16:uniqueId val="{00000002-4AC3-44D8-99C7-926EC80F4212}"/>
            </c:ext>
          </c:extLst>
        </c:ser>
        <c:dLbls>
          <c:showLegendKey val="0"/>
          <c:showVal val="0"/>
          <c:showCatName val="0"/>
          <c:showSerName val="0"/>
          <c:showPercent val="0"/>
          <c:showBubbleSize val="0"/>
        </c:dLbls>
        <c:smooth val="0"/>
        <c:axId val="360698192"/>
        <c:axId val="163950416"/>
      </c:lineChart>
      <c:catAx>
        <c:axId val="36069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Accident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0416"/>
        <c:crosses val="autoZero"/>
        <c:auto val="1"/>
        <c:lblAlgn val="ctr"/>
        <c:lblOffset val="100"/>
        <c:noMultiLvlLbl val="0"/>
      </c:catAx>
      <c:valAx>
        <c:axId val="16395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IBNR</a:t>
                </a:r>
              </a:p>
            </c:rich>
          </c:tx>
          <c:layout>
            <c:manualLayout>
              <c:xMode val="edge"/>
              <c:yMode val="edge"/>
              <c:x val="0"/>
              <c:y val="0.396057159521726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98192"/>
        <c:crosses val="autoZero"/>
        <c:crossBetween val="between"/>
      </c:valAx>
      <c:spPr>
        <a:noFill/>
        <a:ln>
          <a:noFill/>
        </a:ln>
        <a:effectLst/>
      </c:spPr>
    </c:plotArea>
    <c:legend>
      <c:legendPos val="r"/>
      <c:layout>
        <c:manualLayout>
          <c:xMode val="edge"/>
          <c:yMode val="edge"/>
          <c:x val="0.69623007390519787"/>
          <c:y val="1.8992319211632285E-2"/>
          <c:w val="0.13737762749266547"/>
          <c:h val="0.12857232845894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9526</xdr:colOff>
      <xdr:row>1</xdr:row>
      <xdr:rowOff>0</xdr:rowOff>
    </xdr:from>
    <xdr:to>
      <xdr:col>17</xdr:col>
      <xdr:colOff>19050</xdr:colOff>
      <xdr:row>18</xdr:row>
      <xdr:rowOff>0</xdr:rowOff>
    </xdr:to>
    <xdr:graphicFrame macro="">
      <xdr:nvGraphicFramePr>
        <xdr:cNvPr id="3" name="Chart 2">
          <a:extLst>
            <a:ext uri="{FF2B5EF4-FFF2-40B4-BE49-F238E27FC236}">
              <a16:creationId xmlns:a16="http://schemas.microsoft.com/office/drawing/2014/main" id="{60545A27-F0C9-152E-91AF-670FDF1D3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ler" refreshedDate="46250.661704050923" backgroundQuery="1" createdVersion="8" refreshedVersion="8" minRefreshableVersion="3" recordCount="0" supportSubquery="1" supportAdvancedDrill="1" xr:uid="{C7FF0577-A957-4917-8F68-6F0346FB1B00}">
  <cacheSource type="external" connectionId="1"/>
  <cacheFields count="4">
    <cacheField name="[Measures].[Sum of CumPaidLoss]" caption="Sum of CumPaidLoss" numFmtId="0" hierarchy="16" level="32767"/>
    <cacheField name="[Table1].[AccidentYear].[AccidentYear]" caption="AccidentYear" numFmtId="0" hierarchy="2" level="1">
      <sharedItems containsSemiMixedTypes="0" containsString="0" containsNumber="1" containsInteger="1" minValue="1998" maxValue="2007" count="10">
        <n v="1998"/>
        <n v="1999"/>
        <n v="2000"/>
        <n v="2001"/>
        <n v="2002"/>
        <n v="2003"/>
        <n v="2004"/>
        <n v="2005"/>
        <n v="2006"/>
        <n v="2007"/>
      </sharedItems>
      <extLst>
        <ext xmlns:x15="http://schemas.microsoft.com/office/spreadsheetml/2010/11/main" uri="{4F2E5C28-24EA-4eb8-9CBF-B6C8F9C3D259}">
          <x15:cachedUniqueNames>
            <x15:cachedUniqueName index="0" name="[Table1].[AccidentYear].&amp;[1998]"/>
            <x15:cachedUniqueName index="1" name="[Table1].[AccidentYear].&amp;[1999]"/>
            <x15:cachedUniqueName index="2" name="[Table1].[AccidentYear].&amp;[2000]"/>
            <x15:cachedUniqueName index="3" name="[Table1].[AccidentYear].&amp;[2001]"/>
            <x15:cachedUniqueName index="4" name="[Table1].[AccidentYear].&amp;[2002]"/>
            <x15:cachedUniqueName index="5" name="[Table1].[AccidentYear].&amp;[2003]"/>
            <x15:cachedUniqueName index="6" name="[Table1].[AccidentYear].&amp;[2004]"/>
            <x15:cachedUniqueName index="7" name="[Table1].[AccidentYear].&amp;[2005]"/>
            <x15:cachedUniqueName index="8" name="[Table1].[AccidentYear].&amp;[2006]"/>
            <x15:cachedUniqueName index="9" name="[Table1].[AccidentYear].&amp;[2007]"/>
          </x15:cachedUniqueNames>
        </ext>
      </extLst>
    </cacheField>
    <cacheField name="[Table1].[DevelopmentLag].[DevelopmentLag]" caption="DevelopmentLag" numFmtId="0" hierarchy="4"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Table1].[DevelopmentLag].&amp;[1]"/>
            <x15:cachedUniqueName index="1" name="[Table1].[DevelopmentLag].&amp;[2]"/>
            <x15:cachedUniqueName index="2" name="[Table1].[DevelopmentLag].&amp;[3]"/>
            <x15:cachedUniqueName index="3" name="[Table1].[DevelopmentLag].&amp;[4]"/>
            <x15:cachedUniqueName index="4" name="[Table1].[DevelopmentLag].&amp;[5]"/>
            <x15:cachedUniqueName index="5" name="[Table1].[DevelopmentLag].&amp;[6]"/>
            <x15:cachedUniqueName index="6" name="[Table1].[DevelopmentLag].&amp;[7]"/>
            <x15:cachedUniqueName index="7" name="[Table1].[DevelopmentLag].&amp;[8]"/>
            <x15:cachedUniqueName index="8" name="[Table1].[DevelopmentLag].&amp;[9]"/>
            <x15:cachedUniqueName index="9" name="[Table1].[DevelopmentLag].&amp;[10]"/>
          </x15:cachedUniqueNames>
        </ext>
      </extLst>
    </cacheField>
    <cacheField name="[Table1].[IsKnown].[IsKnown]" caption="IsKnown" numFmtId="0" hierarchy="13" level="1">
      <sharedItems containsSemiMixedTypes="0" containsNonDate="0" containsString="0"/>
    </cacheField>
  </cacheFields>
  <cacheHierarchies count="17">
    <cacheHierarchy uniqueName="[Table1].[GRCODE]" caption="GRCODE" attribute="1" defaultMemberUniqueName="[Table1].[GRCODE].[All]" allUniqueName="[Table1].[GRCODE].[All]" dimensionUniqueName="[Table1]" displayFolder="" count="0" memberValueDatatype="20" unbalanced="0"/>
    <cacheHierarchy uniqueName="[Table1].[GRNAME]" caption="GRNAME" attribute="1" defaultMemberUniqueName="[Table1].[GRNAME].[All]" allUniqueName="[Table1].[GRNAME].[All]" dimensionUniqueName="[Table1]" displayFolder="" count="0" memberValueDatatype="130" unbalanced="0"/>
    <cacheHierarchy uniqueName="[Table1].[AccidentYear]" caption="AccidentYear" attribute="1" defaultMemberUniqueName="[Table1].[AccidentYear].[All]" allUniqueName="[Table1].[AccidentYear].[All]" dimensionUniqueName="[Table1]" displayFolder="" count="2" memberValueDatatype="20" unbalanced="0">
      <fieldsUsage count="2">
        <fieldUsage x="-1"/>
        <fieldUsage x="1"/>
      </fieldsUsage>
    </cacheHierarchy>
    <cacheHierarchy uniqueName="[Table1].[DevelopmentYear]" caption="DevelopmentYear" attribute="1" defaultMemberUniqueName="[Table1].[DevelopmentYear].[All]" allUniqueName="[Table1].[DevelopmentYear].[All]" dimensionUniqueName="[Table1]" displayFolder="" count="0" memberValueDatatype="20" unbalanced="0"/>
    <cacheHierarchy uniqueName="[Table1].[DevelopmentLag]" caption="DevelopmentLag" attribute="1" defaultMemberUniqueName="[Table1].[DevelopmentLag].[All]" allUniqueName="[Table1].[DevelopmentLag].[All]" dimensionUniqueName="[Table1]" displayFolder="" count="2" memberValueDatatype="20" unbalanced="0">
      <fieldsUsage count="2">
        <fieldUsage x="-1"/>
        <fieldUsage x="2"/>
      </fieldsUsage>
    </cacheHierarchy>
    <cacheHierarchy uniqueName="[Table1].[IncurredLosses]" caption="IncurredLosses" attribute="1" defaultMemberUniqueName="[Table1].[IncurredLosses].[All]" allUniqueName="[Table1].[IncurredLosses].[All]" dimensionUniqueName="[Table1]" displayFolder="" count="0" memberValueDatatype="20" unbalanced="0"/>
    <cacheHierarchy uniqueName="[Table1].[CumPaidLoss]" caption="CumPaidLoss" attribute="1" defaultMemberUniqueName="[Table1].[CumPaidLoss].[All]" allUniqueName="[Table1].[CumPaidLoss].[All]" dimensionUniqueName="[Table1]" displayFolder="" count="0" memberValueDatatype="20" unbalanced="0"/>
    <cacheHierarchy uniqueName="[Table1].[BulkLoss]" caption="BulkLoss" attribute="1" defaultMemberUniqueName="[Table1].[BulkLoss].[All]" allUniqueName="[Table1].[BulkLoss].[All]" dimensionUniqueName="[Table1]" displayFolder="" count="0" memberValueDatatype="20" unbalanced="0"/>
    <cacheHierarchy uniqueName="[Table1].[EarnedPremDIR]" caption="EarnedPremDIR" attribute="1" defaultMemberUniqueName="[Table1].[EarnedPremDIR].[All]" allUniqueName="[Table1].[EarnedPremDIR].[All]" dimensionUniqueName="[Table1]" displayFolder="" count="0" memberValueDatatype="20" unbalanced="0"/>
    <cacheHierarchy uniqueName="[Table1].[EarnedPremCeded]" caption="EarnedPremCeded" attribute="1" defaultMemberUniqueName="[Table1].[EarnedPremCeded].[All]" allUniqueName="[Table1].[EarnedPremCeded].[All]" dimensionUniqueName="[Table1]" displayFolder="" count="0" memberValueDatatype="20" unbalanced="0"/>
    <cacheHierarchy uniqueName="[Table1].[EarnedPremNet]" caption="EarnedPremNet" attribute="1" defaultMemberUniqueName="[Table1].[EarnedPremNet].[All]" allUniqueName="[Table1].[EarnedPremNet].[All]" dimensionUniqueName="[Table1]" displayFolder="" count="0" memberValueDatatype="20" unbalanced="0"/>
    <cacheHierarchy uniqueName="[Table1].[Single]" caption="Single" attribute="1" defaultMemberUniqueName="[Table1].[Single].[All]" allUniqueName="[Table1].[Single].[All]" dimensionUniqueName="[Table1]" displayFolder="" count="0" memberValueDatatype="20" unbalanced="0"/>
    <cacheHierarchy uniqueName="[Table1].[PostedReserves2007]" caption="PostedReserves2007" attribute="1" defaultMemberUniqueName="[Table1].[PostedReserves2007].[All]" allUniqueName="[Table1].[PostedReserves2007].[All]" dimensionUniqueName="[Table1]" displayFolder="" count="0" memberValueDatatype="5" unbalanced="0"/>
    <cacheHierarchy uniqueName="[Table1].[IsKnown]" caption="IsKnown" attribute="1" defaultMemberUniqueName="[Table1].[IsKnown].[All]" allUniqueName="[Table1].[IsKnown].[All]" dimensionUniqueName="[Table1]"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mPaidLoss]" caption="Sum of CumPaidLos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310D02-B188-437E-8E3D-5D1949CACD6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K14" firstHeaderRow="1" firstDataRow="2" firstDataCol="1" rowPageCount="1" colPageCount="1"/>
  <pivotFields count="4">
    <pivotField dataField="1" compact="0" outline="0" subtotalTop="0" showAll="0" defaultSubtotal="0"/>
    <pivotField name="Accident Year" axis="axisRow" compact="0" allDrilled="1" outline="0" showAll="0" dataSourceSort="1" defaultSubtotal="0" defaultAttributeDrillState="1">
      <items count="10">
        <item x="0"/>
        <item x="1"/>
        <item x="2"/>
        <item x="3"/>
        <item x="4"/>
        <item x="5"/>
        <item x="6"/>
        <item x="7"/>
        <item x="8"/>
        <item x="9"/>
      </items>
    </pivotField>
    <pivotField name="Development Lag" axis="axisCol" compact="0" allDrilled="1" outline="0" showAll="0" dataSourceSort="1" defaultSubtotal="0" defaultAttributeDrillState="1">
      <items count="10">
        <item x="0"/>
        <item x="1"/>
        <item x="2"/>
        <item x="3"/>
        <item x="4"/>
        <item x="5"/>
        <item x="6"/>
        <item x="7"/>
        <item x="8"/>
        <item x="9"/>
      </items>
    </pivotField>
    <pivotField axis="axisPage" compact="0" allDrilled="1" outline="0" subtotalTop="0" showAll="0" dataSourceSort="1" defaultSubtotal="0" defaultAttributeDrillState="1"/>
  </pivotFields>
  <rowFields count="1">
    <field x="1"/>
  </rowFields>
  <rowItems count="10">
    <i>
      <x/>
    </i>
    <i>
      <x v="1"/>
    </i>
    <i>
      <x v="2"/>
    </i>
    <i>
      <x v="3"/>
    </i>
    <i>
      <x v="4"/>
    </i>
    <i>
      <x v="5"/>
    </i>
    <i>
      <x v="6"/>
    </i>
    <i>
      <x v="7"/>
    </i>
    <i>
      <x v="8"/>
    </i>
    <i>
      <x v="9"/>
    </i>
  </rowItems>
  <colFields count="1">
    <field x="2"/>
  </colFields>
  <colItems count="10">
    <i>
      <x/>
    </i>
    <i>
      <x v="1"/>
    </i>
    <i>
      <x v="2"/>
    </i>
    <i>
      <x v="3"/>
    </i>
    <i>
      <x v="4"/>
    </i>
    <i>
      <x v="5"/>
    </i>
    <i>
      <x v="6"/>
    </i>
    <i>
      <x v="7"/>
    </i>
    <i>
      <x v="8"/>
    </i>
    <i>
      <x v="9"/>
    </i>
  </colItems>
  <pageFields count="1">
    <pageField fld="3" hier="13" name="[Table1].[IsKnown].&amp;[Known]" cap="Known"/>
  </pageFields>
  <dataFields count="1">
    <dataField name="Paid Loss (in thousands)" fld="0" baseField="0" baseItem="0" numFmtId="43"/>
  </dataFields>
  <formats count="67">
    <format dxfId="133">
      <pivotArea outline="0" collapsedLevelsAreSubtotals="1" fieldPosition="0"/>
    </format>
    <format dxfId="132">
      <pivotArea dataOnly="0" labelOnly="1" outline="0" fieldPosition="0">
        <references count="1">
          <reference field="1" count="0"/>
        </references>
      </pivotArea>
    </format>
    <format dxfId="131">
      <pivotArea field="1" type="button" dataOnly="0" labelOnly="1" outline="0" axis="axisRow" fieldPosition="0"/>
    </format>
    <format dxfId="130">
      <pivotArea outline="0" fieldPosition="0">
        <references count="1">
          <reference field="2" count="1" selected="0">
            <x v="0"/>
          </reference>
        </references>
      </pivotArea>
    </format>
    <format dxfId="129">
      <pivotArea outline="0" fieldPosition="0">
        <references count="2">
          <reference field="1" count="9" selected="0">
            <x v="0"/>
            <x v="1"/>
            <x v="2"/>
            <x v="3"/>
            <x v="4"/>
            <x v="5"/>
            <x v="6"/>
            <x v="7"/>
            <x v="8"/>
          </reference>
          <reference field="2" count="1" selected="0">
            <x v="1"/>
          </reference>
        </references>
      </pivotArea>
    </format>
    <format dxfId="128">
      <pivotArea outline="0" fieldPosition="0">
        <references count="2">
          <reference field="1" count="8" selected="0">
            <x v="0"/>
            <x v="1"/>
            <x v="2"/>
            <x v="3"/>
            <x v="4"/>
            <x v="5"/>
            <x v="6"/>
            <x v="7"/>
          </reference>
          <reference field="2" count="1" selected="0">
            <x v="2"/>
          </reference>
        </references>
      </pivotArea>
    </format>
    <format dxfId="127">
      <pivotArea outline="0" fieldPosition="0">
        <references count="2">
          <reference field="1" count="7" selected="0">
            <x v="0"/>
            <x v="1"/>
            <x v="2"/>
            <x v="3"/>
            <x v="4"/>
            <x v="5"/>
            <x v="6"/>
          </reference>
          <reference field="2" count="1" selected="0">
            <x v="3"/>
          </reference>
        </references>
      </pivotArea>
    </format>
    <format dxfId="126">
      <pivotArea outline="0" fieldPosition="0">
        <references count="2">
          <reference field="1" count="6" selected="0">
            <x v="0"/>
            <x v="1"/>
            <x v="2"/>
            <x v="3"/>
            <x v="4"/>
            <x v="5"/>
          </reference>
          <reference field="2" count="1" selected="0">
            <x v="4"/>
          </reference>
        </references>
      </pivotArea>
    </format>
    <format dxfId="125">
      <pivotArea outline="0" fieldPosition="0">
        <references count="2">
          <reference field="1" count="5" selected="0">
            <x v="0"/>
            <x v="1"/>
            <x v="2"/>
            <x v="3"/>
            <x v="4"/>
          </reference>
          <reference field="2" count="1" selected="0">
            <x v="5"/>
          </reference>
        </references>
      </pivotArea>
    </format>
    <format dxfId="124">
      <pivotArea outline="0" fieldPosition="0">
        <references count="2">
          <reference field="1" count="4" selected="0">
            <x v="0"/>
            <x v="1"/>
            <x v="2"/>
            <x v="3"/>
          </reference>
          <reference field="2" count="1" selected="0">
            <x v="6"/>
          </reference>
        </references>
      </pivotArea>
    </format>
    <format dxfId="123">
      <pivotArea outline="0" fieldPosition="0">
        <references count="2">
          <reference field="1" count="3" selected="0">
            <x v="0"/>
            <x v="1"/>
            <x v="2"/>
          </reference>
          <reference field="2" count="1" selected="0">
            <x v="7"/>
          </reference>
        </references>
      </pivotArea>
    </format>
    <format dxfId="122">
      <pivotArea outline="0" fieldPosition="0">
        <references count="2">
          <reference field="1" count="2" selected="0">
            <x v="0"/>
            <x v="1"/>
          </reference>
          <reference field="2" count="1" selected="0">
            <x v="8"/>
          </reference>
        </references>
      </pivotArea>
    </format>
    <format dxfId="121">
      <pivotArea outline="0" fieldPosition="0">
        <references count="2">
          <reference field="1" count="1" selected="0">
            <x v="0"/>
          </reference>
          <reference field="2" count="1" selected="0">
            <x v="9"/>
          </reference>
        </references>
      </pivotArea>
    </format>
    <format dxfId="120">
      <pivotArea outline="0" fieldPosition="0">
        <references count="2">
          <reference field="1" count="1" selected="0">
            <x v="9"/>
          </reference>
          <reference field="2" count="1" selected="0">
            <x v="0"/>
          </reference>
        </references>
      </pivotArea>
    </format>
    <format dxfId="119">
      <pivotArea outline="0" fieldPosition="0">
        <references count="2">
          <reference field="1" count="1" selected="0">
            <x v="9"/>
          </reference>
          <reference field="2" count="1" selected="0">
            <x v="0"/>
          </reference>
        </references>
      </pivotArea>
    </format>
    <format dxfId="118">
      <pivotArea outline="0" fieldPosition="0">
        <references count="2">
          <reference field="1" count="1" selected="0">
            <x v="8"/>
          </reference>
          <reference field="2" count="1" selected="0">
            <x v="1"/>
          </reference>
        </references>
      </pivotArea>
    </format>
    <format dxfId="117">
      <pivotArea outline="0" fieldPosition="0">
        <references count="2">
          <reference field="1" count="1" selected="0">
            <x v="8"/>
          </reference>
          <reference field="2" count="1" selected="0">
            <x v="1"/>
          </reference>
        </references>
      </pivotArea>
    </format>
    <format dxfId="116">
      <pivotArea outline="0" fieldPosition="0">
        <references count="2">
          <reference field="1" count="1" selected="0">
            <x v="7"/>
          </reference>
          <reference field="2" count="1" selected="0">
            <x v="2"/>
          </reference>
        </references>
      </pivotArea>
    </format>
    <format dxfId="115">
      <pivotArea outline="0" fieldPosition="0">
        <references count="2">
          <reference field="1" count="1" selected="0">
            <x v="7"/>
          </reference>
          <reference field="2" count="1" selected="0">
            <x v="2"/>
          </reference>
        </references>
      </pivotArea>
    </format>
    <format dxfId="114">
      <pivotArea outline="0" fieldPosition="0">
        <references count="2">
          <reference field="1" count="1" selected="0">
            <x v="6"/>
          </reference>
          <reference field="2" count="1" selected="0">
            <x v="3"/>
          </reference>
        </references>
      </pivotArea>
    </format>
    <format dxfId="113">
      <pivotArea outline="0" fieldPosition="0">
        <references count="2">
          <reference field="1" count="1" selected="0">
            <x v="6"/>
          </reference>
          <reference field="2" count="1" selected="0">
            <x v="3"/>
          </reference>
        </references>
      </pivotArea>
    </format>
    <format dxfId="112">
      <pivotArea outline="0" fieldPosition="0">
        <references count="2">
          <reference field="1" count="1" selected="0">
            <x v="5"/>
          </reference>
          <reference field="2" count="1" selected="0">
            <x v="4"/>
          </reference>
        </references>
      </pivotArea>
    </format>
    <format dxfId="111">
      <pivotArea outline="0" fieldPosition="0">
        <references count="2">
          <reference field="1" count="1" selected="0">
            <x v="5"/>
          </reference>
          <reference field="2" count="1" selected="0">
            <x v="4"/>
          </reference>
        </references>
      </pivotArea>
    </format>
    <format dxfId="110">
      <pivotArea outline="0" fieldPosition="0">
        <references count="2">
          <reference field="1" count="1" selected="0">
            <x v="4"/>
          </reference>
          <reference field="2" count="1" selected="0">
            <x v="5"/>
          </reference>
        </references>
      </pivotArea>
    </format>
    <format dxfId="109">
      <pivotArea outline="0" fieldPosition="0">
        <references count="2">
          <reference field="1" count="1" selected="0">
            <x v="4"/>
          </reference>
          <reference field="2" count="1" selected="0">
            <x v="5"/>
          </reference>
        </references>
      </pivotArea>
    </format>
    <format dxfId="108">
      <pivotArea outline="0" fieldPosition="0">
        <references count="2">
          <reference field="1" count="1" selected="0">
            <x v="3"/>
          </reference>
          <reference field="2" count="1" selected="0">
            <x v="6"/>
          </reference>
        </references>
      </pivotArea>
    </format>
    <format dxfId="107">
      <pivotArea outline="0" fieldPosition="0">
        <references count="2">
          <reference field="1" count="1" selected="0">
            <x v="3"/>
          </reference>
          <reference field="2" count="1" selected="0">
            <x v="6"/>
          </reference>
        </references>
      </pivotArea>
    </format>
    <format dxfId="106">
      <pivotArea outline="0" fieldPosition="0">
        <references count="2">
          <reference field="1" count="1" selected="0">
            <x v="2"/>
          </reference>
          <reference field="2" count="1" selected="0">
            <x v="7"/>
          </reference>
        </references>
      </pivotArea>
    </format>
    <format dxfId="105">
      <pivotArea outline="0" fieldPosition="0">
        <references count="2">
          <reference field="1" count="1" selected="0">
            <x v="2"/>
          </reference>
          <reference field="2" count="1" selected="0">
            <x v="7"/>
          </reference>
        </references>
      </pivotArea>
    </format>
    <format dxfId="104">
      <pivotArea outline="0" fieldPosition="0">
        <references count="2">
          <reference field="1" count="1" selected="0">
            <x v="1"/>
          </reference>
          <reference field="2" count="1" selected="0">
            <x v="8"/>
          </reference>
        </references>
      </pivotArea>
    </format>
    <format dxfId="103">
      <pivotArea outline="0" fieldPosition="0">
        <references count="2">
          <reference field="1" count="1" selected="0">
            <x v="1"/>
          </reference>
          <reference field="2" count="1" selected="0">
            <x v="8"/>
          </reference>
        </references>
      </pivotArea>
    </format>
    <format dxfId="102">
      <pivotArea outline="0" fieldPosition="0">
        <references count="2">
          <reference field="1" count="1" selected="0">
            <x v="0"/>
          </reference>
          <reference field="2" count="1" selected="0">
            <x v="9"/>
          </reference>
        </references>
      </pivotArea>
    </format>
    <format dxfId="101">
      <pivotArea outline="0" fieldPosition="0">
        <references count="2">
          <reference field="1" count="1" selected="0">
            <x v="0"/>
          </reference>
          <reference field="2" count="1" selected="0">
            <x v="9"/>
          </reference>
        </references>
      </pivotArea>
    </format>
    <format dxfId="100">
      <pivotArea dataOnly="0" labelOnly="1" outline="0" fieldPosition="0">
        <references count="1">
          <reference field="2" count="1">
            <x v="9"/>
          </reference>
        </references>
      </pivotArea>
    </format>
    <format dxfId="99">
      <pivotArea dataOnly="0" labelOnly="1" outline="0" fieldPosition="0">
        <references count="1">
          <reference field="2" count="1">
            <x v="8"/>
          </reference>
        </references>
      </pivotArea>
    </format>
    <format dxfId="98">
      <pivotArea dataOnly="0" labelOnly="1" outline="0" fieldPosition="0">
        <references count="1">
          <reference field="2" count="1">
            <x v="7"/>
          </reference>
        </references>
      </pivotArea>
    </format>
    <format dxfId="97">
      <pivotArea dataOnly="0" labelOnly="1" outline="0" fieldPosition="0">
        <references count="1">
          <reference field="2" count="1">
            <x v="6"/>
          </reference>
        </references>
      </pivotArea>
    </format>
    <format dxfId="96">
      <pivotArea dataOnly="0" labelOnly="1" outline="0" fieldPosition="0">
        <references count="1">
          <reference field="2" count="1">
            <x v="5"/>
          </reference>
        </references>
      </pivotArea>
    </format>
    <format dxfId="95">
      <pivotArea dataOnly="0" labelOnly="1" outline="0" fieldPosition="0">
        <references count="1">
          <reference field="2" count="1">
            <x v="4"/>
          </reference>
        </references>
      </pivotArea>
    </format>
    <format dxfId="94">
      <pivotArea dataOnly="0" labelOnly="1" outline="0" fieldPosition="0">
        <references count="1">
          <reference field="2" count="1">
            <x v="3"/>
          </reference>
        </references>
      </pivotArea>
    </format>
    <format dxfId="93">
      <pivotArea dataOnly="0" labelOnly="1" outline="0" fieldPosition="0">
        <references count="1">
          <reference field="2" count="1">
            <x v="2"/>
          </reference>
        </references>
      </pivotArea>
    </format>
    <format dxfId="92">
      <pivotArea dataOnly="0" labelOnly="1" outline="0" fieldPosition="0">
        <references count="1">
          <reference field="2" count="1">
            <x v="1"/>
          </reference>
        </references>
      </pivotArea>
    </format>
    <format dxfId="91">
      <pivotArea dataOnly="0" labelOnly="1" outline="0" fieldPosition="0">
        <references count="1">
          <reference field="2" count="1">
            <x v="0"/>
          </reference>
        </references>
      </pivotArea>
    </format>
    <format dxfId="90">
      <pivotArea dataOnly="0" labelOnly="1" outline="0" fieldPosition="0">
        <references count="1">
          <reference field="1" count="1">
            <x v="9"/>
          </reference>
        </references>
      </pivotArea>
    </format>
    <format dxfId="89">
      <pivotArea dataOnly="0" labelOnly="1" outline="0" fieldPosition="0">
        <references count="1">
          <reference field="1" count="1">
            <x v="0"/>
          </reference>
        </references>
      </pivotArea>
    </format>
    <format dxfId="88">
      <pivotArea dataOnly="0" labelOnly="1" outline="0" fieldPosition="0">
        <references count="1">
          <reference field="1" count="2">
            <x v="1"/>
            <x v="2"/>
          </reference>
        </references>
      </pivotArea>
    </format>
    <format dxfId="87">
      <pivotArea dataOnly="0" labelOnly="1" outline="0" fieldPosition="0">
        <references count="1">
          <reference field="1" count="6">
            <x v="3"/>
            <x v="4"/>
            <x v="5"/>
            <x v="6"/>
            <x v="7"/>
            <x v="8"/>
          </reference>
        </references>
      </pivotArea>
    </format>
    <format dxfId="86">
      <pivotArea dataOnly="0" labelOnly="1" outline="0" fieldPosition="0">
        <references count="1">
          <reference field="1" count="1">
            <x v="8"/>
          </reference>
        </references>
      </pivotArea>
    </format>
    <format dxfId="85">
      <pivotArea dataOnly="0" labelOnly="1" outline="0" fieldPosition="0">
        <references count="1">
          <reference field="1" count="1">
            <x v="7"/>
          </reference>
        </references>
      </pivotArea>
    </format>
    <format dxfId="84">
      <pivotArea dataOnly="0" labelOnly="1" outline="0" fieldPosition="0">
        <references count="1">
          <reference field="1" count="1">
            <x v="6"/>
          </reference>
        </references>
      </pivotArea>
    </format>
    <format dxfId="83">
      <pivotArea dataOnly="0" labelOnly="1" outline="0" fieldPosition="0">
        <references count="1">
          <reference field="1" count="1">
            <x v="5"/>
          </reference>
        </references>
      </pivotArea>
    </format>
    <format dxfId="82">
      <pivotArea dataOnly="0" labelOnly="1" outline="0" fieldPosition="0">
        <references count="1">
          <reference field="1" count="1">
            <x v="4"/>
          </reference>
        </references>
      </pivotArea>
    </format>
    <format dxfId="81">
      <pivotArea dataOnly="0" labelOnly="1" outline="0" fieldPosition="0">
        <references count="1">
          <reference field="1" count="1">
            <x v="3"/>
          </reference>
        </references>
      </pivotArea>
    </format>
    <format dxfId="80">
      <pivotArea dataOnly="0" labelOnly="1" outline="0" fieldPosition="0">
        <references count="1">
          <reference field="1" count="1">
            <x v="2"/>
          </reference>
        </references>
      </pivotArea>
    </format>
    <format dxfId="79">
      <pivotArea dataOnly="0" labelOnly="1" outline="0" fieldPosition="0">
        <references count="1">
          <reference field="1" count="1">
            <x v="1"/>
          </reference>
        </references>
      </pivotArea>
    </format>
    <format dxfId="78">
      <pivotArea dataOnly="0" labelOnly="1" outline="0" fieldPosition="0">
        <references count="1">
          <reference field="1" count="1">
            <x v="0"/>
          </reference>
        </references>
      </pivotArea>
    </format>
    <format dxfId="77">
      <pivotArea dataOnly="0" labelOnly="1" outline="0" fieldPosition="0">
        <references count="1">
          <reference field="1" count="1">
            <x v="9"/>
          </reference>
        </references>
      </pivotArea>
    </format>
    <format dxfId="76">
      <pivotArea outline="0" fieldPosition="0">
        <references count="1">
          <reference field="1" count="1" selected="0">
            <x v="0"/>
          </reference>
        </references>
      </pivotArea>
    </format>
    <format dxfId="75">
      <pivotArea outline="0" fieldPosition="0">
        <references count="2">
          <reference field="1" count="1" selected="0">
            <x v="1"/>
          </reference>
          <reference field="2" count="9" selected="0">
            <x v="0"/>
            <x v="1"/>
            <x v="2"/>
            <x v="3"/>
            <x v="4"/>
            <x v="5"/>
            <x v="6"/>
            <x v="7"/>
            <x v="8"/>
          </reference>
        </references>
      </pivotArea>
    </format>
    <format dxfId="74">
      <pivotArea outline="0" fieldPosition="0">
        <references count="2">
          <reference field="1" count="1" selected="0">
            <x v="2"/>
          </reference>
          <reference field="2" count="8" selected="0">
            <x v="0"/>
            <x v="1"/>
            <x v="2"/>
            <x v="3"/>
            <x v="4"/>
            <x v="5"/>
            <x v="6"/>
            <x v="7"/>
          </reference>
        </references>
      </pivotArea>
    </format>
    <format dxfId="73">
      <pivotArea outline="0" fieldPosition="0">
        <references count="2">
          <reference field="1" count="1" selected="0">
            <x v="3"/>
          </reference>
          <reference field="2" count="7" selected="0">
            <x v="0"/>
            <x v="1"/>
            <x v="2"/>
            <x v="3"/>
            <x v="4"/>
            <x v="5"/>
            <x v="6"/>
          </reference>
        </references>
      </pivotArea>
    </format>
    <format dxfId="72">
      <pivotArea outline="0" fieldPosition="0">
        <references count="2">
          <reference field="1" count="1" selected="0">
            <x v="4"/>
          </reference>
          <reference field="2" count="6" selected="0">
            <x v="0"/>
            <x v="1"/>
            <x v="2"/>
            <x v="3"/>
            <x v="4"/>
            <x v="5"/>
          </reference>
        </references>
      </pivotArea>
    </format>
    <format dxfId="71">
      <pivotArea outline="0" fieldPosition="0">
        <references count="2">
          <reference field="1" count="1" selected="0">
            <x v="5"/>
          </reference>
          <reference field="2" count="5" selected="0">
            <x v="0"/>
            <x v="1"/>
            <x v="2"/>
            <x v="3"/>
            <x v="4"/>
          </reference>
        </references>
      </pivotArea>
    </format>
    <format dxfId="70">
      <pivotArea outline="0" fieldPosition="0">
        <references count="2">
          <reference field="1" count="1" selected="0">
            <x v="6"/>
          </reference>
          <reference field="2" count="4" selected="0">
            <x v="0"/>
            <x v="1"/>
            <x v="2"/>
            <x v="3"/>
          </reference>
        </references>
      </pivotArea>
    </format>
    <format dxfId="69">
      <pivotArea outline="0" fieldPosition="0">
        <references count="2">
          <reference field="1" count="1" selected="0">
            <x v="7"/>
          </reference>
          <reference field="2" count="3" selected="0">
            <x v="0"/>
            <x v="1"/>
            <x v="2"/>
          </reference>
        </references>
      </pivotArea>
    </format>
    <format dxfId="68">
      <pivotArea outline="0" fieldPosition="0">
        <references count="2">
          <reference field="1" count="1" selected="0">
            <x v="8"/>
          </reference>
          <reference field="2" count="2" selected="0">
            <x v="0"/>
            <x v="1"/>
          </reference>
        </references>
      </pivotArea>
    </format>
    <format dxfId="67">
      <pivotArea outline="0" fieldPosition="0">
        <references count="2">
          <reference field="1" count="1" selected="0">
            <x v="9"/>
          </reference>
          <reference field="2" count="1" selected="0">
            <x v="0"/>
          </reference>
        </references>
      </pivotArea>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aid Loss (in thousands)"/>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F8444-57D6-4049-92C7-D16761018B76}" name="Table1" displayName="Table1" ref="A1:N101" totalsRowShown="0">
  <autoFilter ref="A1:N101" xr:uid="{BF6F8444-57D6-4049-92C7-D16761018B76}"/>
  <sortState xmlns:xlrd2="http://schemas.microsoft.com/office/spreadsheetml/2017/richdata2" ref="A2:M101">
    <sortCondition descending="1" ref="A1:A101"/>
  </sortState>
  <tableColumns count="14">
    <tableColumn id="1" xr3:uid="{DC33A1EE-6314-4A4F-91EB-FA3BE2CD3E7A}" name="GRCODE" dataDxfId="147"/>
    <tableColumn id="2" xr3:uid="{234B6791-AB7A-4195-A171-DCCEF011EE94}" name="GRNAME" dataDxfId="146"/>
    <tableColumn id="3" xr3:uid="{B8787337-B7EE-4BE8-8783-FE3250FADC0E}" name="AccidentYear" dataDxfId="145"/>
    <tableColumn id="4" xr3:uid="{C3525F3F-93E7-4ECC-AD82-E09A69CA05B6}" name="DevelopmentYear" dataDxfId="144"/>
    <tableColumn id="5" xr3:uid="{680C6E79-FEF0-4315-9EA1-767AF2EE2531}" name="DevelopmentLag" dataDxfId="143"/>
    <tableColumn id="6" xr3:uid="{687DAE0C-EDA1-47BD-98D5-1843FB351B24}" name="IncurredLosses (in thousands)" dataDxfId="142" dataCellStyle="Currency"/>
    <tableColumn id="7" xr3:uid="{3F73FDB1-F2C6-4605-BBCC-80DF15354E9E}" name="CumPaidLoss (in thousands)" dataDxfId="141" dataCellStyle="Currency"/>
    <tableColumn id="8" xr3:uid="{249466AC-16F1-4EF2-977B-71654E110590}" name="BulkLoss (in thousands)" dataDxfId="140" dataCellStyle="Currency"/>
    <tableColumn id="9" xr3:uid="{B1CB3FA2-563C-4A93-8008-846D975D0C9B}" name="EarnedPremDIR (in thousands)" dataDxfId="139" dataCellStyle="Currency"/>
    <tableColumn id="10" xr3:uid="{9AE444AC-2A30-4D2D-A9EB-96D88BCE6305}" name="EarnedPremCeded (in thousands)" dataDxfId="138" dataCellStyle="Currency"/>
    <tableColumn id="11" xr3:uid="{B865BB02-2D5E-4C29-91F2-1ADC72D818F9}" name="EarnedPremNet (in thousands)" dataDxfId="137" dataCellStyle="Currency"/>
    <tableColumn id="12" xr3:uid="{0DCE759A-E5DB-4E35-9BD1-FAFF6610CC22}" name="Single" dataDxfId="136"/>
    <tableColumn id="13" xr3:uid="{439E03EB-C3A6-4E3A-A925-7E195E219FEF}" name="PostedReserves2007 (in thousands)" dataDxfId="135" dataCellStyle="Currency"/>
    <tableColumn id="14" xr3:uid="{85E55CCD-D9D7-49D2-B2E5-39E77DB43CB1}" name="IsKnown" dataDxfId="134">
      <calculatedColumnFormula>IF((Table1[[#This Row],[AccidentYear]]-1998+1) + Table1[[#This Row],[DevelopmentLag]] - 1 &lt;=10, "Known", "Future")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F18E-D5AB-4899-A485-AA2014403FFB}">
  <dimension ref="A1:A25"/>
  <sheetViews>
    <sheetView showGridLines="0" tabSelected="1" workbookViewId="0">
      <selection activeCell="A26" sqref="A26"/>
    </sheetView>
  </sheetViews>
  <sheetFormatPr defaultRowHeight="15" x14ac:dyDescent="0.25"/>
  <cols>
    <col min="1" max="1" width="123.85546875" style="66" customWidth="1"/>
  </cols>
  <sheetData>
    <row r="1" spans="1:1" ht="21" x14ac:dyDescent="0.35">
      <c r="A1" s="68" t="s">
        <v>34</v>
      </c>
    </row>
    <row r="3" spans="1:1" ht="18.75" x14ac:dyDescent="0.3">
      <c r="A3" s="72" t="s">
        <v>35</v>
      </c>
    </row>
    <row r="4" spans="1:1" ht="30" x14ac:dyDescent="0.25">
      <c r="A4" s="66" t="s">
        <v>42</v>
      </c>
    </row>
    <row r="6" spans="1:1" ht="18.75" x14ac:dyDescent="0.3">
      <c r="A6" s="72" t="s">
        <v>36</v>
      </c>
    </row>
    <row r="7" spans="1:1" ht="75" x14ac:dyDescent="0.25">
      <c r="A7" s="66" t="s">
        <v>63</v>
      </c>
    </row>
    <row r="9" spans="1:1" ht="18.75" x14ac:dyDescent="0.3">
      <c r="A9" s="72" t="s">
        <v>37</v>
      </c>
    </row>
    <row r="10" spans="1:1" ht="75" x14ac:dyDescent="0.25">
      <c r="A10" s="66" t="s">
        <v>66</v>
      </c>
    </row>
    <row r="12" spans="1:1" ht="18.75" x14ac:dyDescent="0.3">
      <c r="A12" s="72" t="s">
        <v>38</v>
      </c>
    </row>
    <row r="13" spans="1:1" ht="60.75" customHeight="1" x14ac:dyDescent="0.25">
      <c r="A13" s="66" t="s">
        <v>67</v>
      </c>
    </row>
    <row r="15" spans="1:1" ht="18.75" x14ac:dyDescent="0.3">
      <c r="A15" s="72" t="s">
        <v>39</v>
      </c>
    </row>
    <row r="16" spans="1:1" ht="45" x14ac:dyDescent="0.25">
      <c r="A16" s="66" t="s">
        <v>64</v>
      </c>
    </row>
    <row r="18" spans="1:1" ht="18.75" x14ac:dyDescent="0.3">
      <c r="A18" s="72" t="s">
        <v>40</v>
      </c>
    </row>
    <row r="19" spans="1:1" ht="45" x14ac:dyDescent="0.25">
      <c r="A19" s="66" t="s">
        <v>65</v>
      </c>
    </row>
    <row r="21" spans="1:1" ht="18.75" x14ac:dyDescent="0.3">
      <c r="A21" s="72" t="s">
        <v>41</v>
      </c>
    </row>
    <row r="22" spans="1:1" ht="45" x14ac:dyDescent="0.25">
      <c r="A22" s="66" t="s">
        <v>69</v>
      </c>
    </row>
    <row r="24" spans="1:1" ht="18.75" x14ac:dyDescent="0.3">
      <c r="A24" s="72" t="s">
        <v>68</v>
      </c>
    </row>
    <row r="25" spans="1:1" ht="30" x14ac:dyDescent="0.25">
      <c r="A25" s="66" t="s">
        <v>70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81B43-C365-4455-A21C-FF175669EEBA}">
  <dimension ref="A1:N101"/>
  <sheetViews>
    <sheetView zoomScale="85" zoomScaleNormal="85" workbookViewId="0"/>
  </sheetViews>
  <sheetFormatPr defaultRowHeight="15" x14ac:dyDescent="0.25"/>
  <cols>
    <col min="1" max="1" width="11.42578125" bestFit="1" customWidth="1"/>
    <col min="2" max="2" width="11.28515625" bestFit="1" customWidth="1"/>
    <col min="3" max="3" width="15.140625" bestFit="1" customWidth="1"/>
    <col min="4" max="4" width="19.85546875" bestFit="1" customWidth="1"/>
    <col min="5" max="5" width="18.7109375" bestFit="1" customWidth="1"/>
    <col min="6" max="6" width="31.140625" bestFit="1" customWidth="1"/>
    <col min="7" max="7" width="29.5703125" bestFit="1" customWidth="1"/>
    <col min="8" max="8" width="25.140625" bestFit="1" customWidth="1"/>
    <col min="9" max="9" width="31.5703125" bestFit="1" customWidth="1"/>
    <col min="10" max="10" width="34.42578125" bestFit="1" customWidth="1"/>
    <col min="11" max="11" width="31.5703125" bestFit="1" customWidth="1"/>
    <col min="12" max="12" width="8.85546875" bestFit="1" customWidth="1"/>
    <col min="13" max="13" width="36.28515625" bestFit="1" customWidth="1"/>
    <col min="14" max="14" width="10.85546875" bestFit="1" customWidth="1"/>
  </cols>
  <sheetData>
    <row r="1" spans="1:14" x14ac:dyDescent="0.25">
      <c r="A1" t="s">
        <v>0</v>
      </c>
      <c r="B1" t="s">
        <v>1</v>
      </c>
      <c r="C1" t="s">
        <v>2</v>
      </c>
      <c r="D1" t="s">
        <v>3</v>
      </c>
      <c r="E1" t="s">
        <v>4</v>
      </c>
      <c r="F1" t="s">
        <v>43</v>
      </c>
      <c r="G1" t="s">
        <v>44</v>
      </c>
      <c r="H1" t="s">
        <v>45</v>
      </c>
      <c r="I1" t="s">
        <v>46</v>
      </c>
      <c r="J1" t="s">
        <v>47</v>
      </c>
      <c r="K1" t="s">
        <v>48</v>
      </c>
      <c r="L1" t="s">
        <v>5</v>
      </c>
      <c r="M1" t="s">
        <v>49</v>
      </c>
      <c r="N1" t="s">
        <v>8</v>
      </c>
    </row>
    <row r="2" spans="1:14" x14ac:dyDescent="0.25">
      <c r="A2" s="6">
        <v>6947</v>
      </c>
      <c r="B2" s="6" t="s">
        <v>6</v>
      </c>
      <c r="C2" s="6">
        <v>2007</v>
      </c>
      <c r="D2" s="6">
        <v>2007</v>
      </c>
      <c r="E2" s="6">
        <v>1</v>
      </c>
      <c r="F2" s="7">
        <v>200274</v>
      </c>
      <c r="G2" s="7">
        <v>106588</v>
      </c>
      <c r="H2" s="7">
        <v>60568</v>
      </c>
      <c r="I2" s="7">
        <v>253531</v>
      </c>
      <c r="J2" s="7">
        <v>1141</v>
      </c>
      <c r="K2" s="7">
        <v>252390</v>
      </c>
      <c r="L2" s="6">
        <v>0</v>
      </c>
      <c r="M2" s="7">
        <v>169311.44</v>
      </c>
      <c r="N2" t="str">
        <f>IF((Table1[[#This Row],[AccidentYear]]-1998+1) + Table1[[#This Row],[DevelopmentLag]] - 1 &lt;=10, "Known", "Future")</f>
        <v>Known</v>
      </c>
    </row>
    <row r="3" spans="1:14" x14ac:dyDescent="0.25">
      <c r="A3" s="6">
        <v>6947</v>
      </c>
      <c r="B3" s="6" t="s">
        <v>6</v>
      </c>
      <c r="C3" s="6">
        <v>2007</v>
      </c>
      <c r="D3" s="6">
        <v>2008</v>
      </c>
      <c r="E3" s="6">
        <v>2</v>
      </c>
      <c r="F3" s="7">
        <v>195205</v>
      </c>
      <c r="G3" s="7">
        <v>162610</v>
      </c>
      <c r="H3" s="7">
        <v>14714</v>
      </c>
      <c r="I3" s="7">
        <v>253531</v>
      </c>
      <c r="J3" s="7">
        <v>1141</v>
      </c>
      <c r="K3" s="7">
        <v>252390</v>
      </c>
      <c r="L3" s="6">
        <v>0</v>
      </c>
      <c r="M3" s="7">
        <v>169311.44</v>
      </c>
      <c r="N3" t="str">
        <f>IF((Table1[[#This Row],[AccidentYear]]-1998+1) + Table1[[#This Row],[DevelopmentLag]] - 1 &lt;=10, "Known", "Future")</f>
        <v>Future</v>
      </c>
    </row>
    <row r="4" spans="1:14" x14ac:dyDescent="0.25">
      <c r="A4" s="6">
        <v>6947</v>
      </c>
      <c r="B4" s="6" t="s">
        <v>6</v>
      </c>
      <c r="C4" s="6">
        <v>2007</v>
      </c>
      <c r="D4" s="6">
        <v>2009</v>
      </c>
      <c r="E4" s="6">
        <v>3</v>
      </c>
      <c r="F4" s="7">
        <v>194204</v>
      </c>
      <c r="G4" s="7">
        <v>177700</v>
      </c>
      <c r="H4" s="7">
        <v>6261</v>
      </c>
      <c r="I4" s="7">
        <v>253531</v>
      </c>
      <c r="J4" s="7">
        <v>1141</v>
      </c>
      <c r="K4" s="7">
        <v>252390</v>
      </c>
      <c r="L4" s="6">
        <v>0</v>
      </c>
      <c r="M4" s="7">
        <v>169311.44</v>
      </c>
      <c r="N4" t="str">
        <f>IF((Table1[[#This Row],[AccidentYear]]-1998+1) + Table1[[#This Row],[DevelopmentLag]] - 1 &lt;=10, "Known", "Future")</f>
        <v>Future</v>
      </c>
    </row>
    <row r="5" spans="1:14" x14ac:dyDescent="0.25">
      <c r="A5" s="6">
        <v>6947</v>
      </c>
      <c r="B5" s="6" t="s">
        <v>6</v>
      </c>
      <c r="C5" s="6">
        <v>2007</v>
      </c>
      <c r="D5" s="6">
        <v>2010</v>
      </c>
      <c r="E5" s="6">
        <v>4</v>
      </c>
      <c r="F5" s="7">
        <v>191533</v>
      </c>
      <c r="G5" s="7">
        <v>185257</v>
      </c>
      <c r="H5" s="7">
        <v>2506</v>
      </c>
      <c r="I5" s="7">
        <v>253531</v>
      </c>
      <c r="J5" s="7">
        <v>1141</v>
      </c>
      <c r="K5" s="7">
        <v>252390</v>
      </c>
      <c r="L5" s="6">
        <v>0</v>
      </c>
      <c r="M5" s="7">
        <v>169311.44</v>
      </c>
      <c r="N5" t="str">
        <f>IF((Table1[[#This Row],[AccidentYear]]-1998+1) + Table1[[#This Row],[DevelopmentLag]] - 1 &lt;=10, "Known", "Future")</f>
        <v>Future</v>
      </c>
    </row>
    <row r="6" spans="1:14" x14ac:dyDescent="0.25">
      <c r="A6" s="6">
        <v>6947</v>
      </c>
      <c r="B6" s="6" t="s">
        <v>6</v>
      </c>
      <c r="C6" s="6">
        <v>2007</v>
      </c>
      <c r="D6" s="6">
        <v>2011</v>
      </c>
      <c r="E6" s="6">
        <v>5</v>
      </c>
      <c r="F6" s="7">
        <v>191395</v>
      </c>
      <c r="G6" s="7">
        <v>187936</v>
      </c>
      <c r="H6" s="7">
        <v>1243</v>
      </c>
      <c r="I6" s="7">
        <v>253531</v>
      </c>
      <c r="J6" s="7">
        <v>1141</v>
      </c>
      <c r="K6" s="7">
        <v>252390</v>
      </c>
      <c r="L6" s="6">
        <v>0</v>
      </c>
      <c r="M6" s="7">
        <v>169311.44</v>
      </c>
      <c r="N6" t="str">
        <f>IF((Table1[[#This Row],[AccidentYear]]-1998+1) + Table1[[#This Row],[DevelopmentLag]] - 1 &lt;=10, "Known", "Future")</f>
        <v>Future</v>
      </c>
    </row>
    <row r="7" spans="1:14" x14ac:dyDescent="0.25">
      <c r="A7" s="6">
        <v>6947</v>
      </c>
      <c r="B7" s="6" t="s">
        <v>6</v>
      </c>
      <c r="C7" s="6">
        <v>2007</v>
      </c>
      <c r="D7" s="6">
        <v>2012</v>
      </c>
      <c r="E7" s="6">
        <v>6</v>
      </c>
      <c r="F7" s="7">
        <v>191083</v>
      </c>
      <c r="G7" s="7">
        <v>189346</v>
      </c>
      <c r="H7" s="7">
        <v>530</v>
      </c>
      <c r="I7" s="7">
        <v>253531</v>
      </c>
      <c r="J7" s="7">
        <v>1141</v>
      </c>
      <c r="K7" s="7">
        <v>252390</v>
      </c>
      <c r="L7" s="6">
        <v>0</v>
      </c>
      <c r="M7" s="7">
        <v>169311.44</v>
      </c>
      <c r="N7" t="str">
        <f>IF((Table1[[#This Row],[AccidentYear]]-1998+1) + Table1[[#This Row],[DevelopmentLag]] - 1 &lt;=10, "Known", "Future")</f>
        <v>Future</v>
      </c>
    </row>
    <row r="8" spans="1:14" x14ac:dyDescent="0.25">
      <c r="A8" s="6">
        <v>6947</v>
      </c>
      <c r="B8" s="6" t="s">
        <v>6</v>
      </c>
      <c r="C8" s="6">
        <v>2007</v>
      </c>
      <c r="D8" s="6">
        <v>2013</v>
      </c>
      <c r="E8" s="6">
        <v>7</v>
      </c>
      <c r="F8" s="7">
        <v>190797</v>
      </c>
      <c r="G8" s="7">
        <v>189797</v>
      </c>
      <c r="H8" s="7">
        <v>202</v>
      </c>
      <c r="I8" s="7">
        <v>253531</v>
      </c>
      <c r="J8" s="7">
        <v>1141</v>
      </c>
      <c r="K8" s="7">
        <v>252390</v>
      </c>
      <c r="L8" s="6">
        <v>0</v>
      </c>
      <c r="M8" s="7">
        <v>169311.44</v>
      </c>
      <c r="N8" t="str">
        <f>IF((Table1[[#This Row],[AccidentYear]]-1998+1) + Table1[[#This Row],[DevelopmentLag]] - 1 &lt;=10, "Known", "Future")</f>
        <v>Future</v>
      </c>
    </row>
    <row r="9" spans="1:14" x14ac:dyDescent="0.25">
      <c r="A9" s="6">
        <v>6947</v>
      </c>
      <c r="B9" s="6" t="s">
        <v>6</v>
      </c>
      <c r="C9" s="6">
        <v>2007</v>
      </c>
      <c r="D9" s="6">
        <v>2014</v>
      </c>
      <c r="E9" s="6">
        <v>8</v>
      </c>
      <c r="F9" s="7">
        <v>190805</v>
      </c>
      <c r="G9" s="7">
        <v>190047</v>
      </c>
      <c r="H9" s="7">
        <v>148</v>
      </c>
      <c r="I9" s="7">
        <v>253531</v>
      </c>
      <c r="J9" s="7">
        <v>1141</v>
      </c>
      <c r="K9" s="7">
        <v>252390</v>
      </c>
      <c r="L9" s="6">
        <v>0</v>
      </c>
      <c r="M9" s="7">
        <v>169311.44</v>
      </c>
      <c r="N9" t="str">
        <f>IF((Table1[[#This Row],[AccidentYear]]-1998+1) + Table1[[#This Row],[DevelopmentLag]] - 1 &lt;=10, "Known", "Future")</f>
        <v>Future</v>
      </c>
    </row>
    <row r="10" spans="1:14" x14ac:dyDescent="0.25">
      <c r="A10" s="6">
        <v>6947</v>
      </c>
      <c r="B10" s="6" t="s">
        <v>6</v>
      </c>
      <c r="C10" s="6">
        <v>2007</v>
      </c>
      <c r="D10" s="6">
        <v>2015</v>
      </c>
      <c r="E10" s="6">
        <v>9</v>
      </c>
      <c r="F10" s="7">
        <v>190903</v>
      </c>
      <c r="G10" s="7">
        <v>190168</v>
      </c>
      <c r="H10" s="7">
        <v>73</v>
      </c>
      <c r="I10" s="7">
        <v>253531</v>
      </c>
      <c r="J10" s="7">
        <v>1141</v>
      </c>
      <c r="K10" s="7">
        <v>252390</v>
      </c>
      <c r="L10" s="6">
        <v>0</v>
      </c>
      <c r="M10" s="7">
        <v>169311.44</v>
      </c>
      <c r="N10" t="str">
        <f>IF((Table1[[#This Row],[AccidentYear]]-1998+1) + Table1[[#This Row],[DevelopmentLag]] - 1 &lt;=10, "Known", "Future")</f>
        <v>Future</v>
      </c>
    </row>
    <row r="11" spans="1:14" x14ac:dyDescent="0.25">
      <c r="A11" s="6">
        <v>6947</v>
      </c>
      <c r="B11" s="6" t="s">
        <v>6</v>
      </c>
      <c r="C11" s="6">
        <v>2007</v>
      </c>
      <c r="D11" s="6">
        <v>2016</v>
      </c>
      <c r="E11" s="6">
        <v>10</v>
      </c>
      <c r="F11" s="7">
        <v>190639</v>
      </c>
      <c r="G11" s="7">
        <v>190230</v>
      </c>
      <c r="H11" s="7">
        <v>61</v>
      </c>
      <c r="I11" s="7">
        <v>253531</v>
      </c>
      <c r="J11" s="7">
        <v>1141</v>
      </c>
      <c r="K11" s="7">
        <v>252390</v>
      </c>
      <c r="L11" s="6">
        <v>0</v>
      </c>
      <c r="M11" s="7">
        <v>169311.44</v>
      </c>
      <c r="N11" t="str">
        <f>IF((Table1[[#This Row],[AccidentYear]]-1998+1) + Table1[[#This Row],[DevelopmentLag]] - 1 &lt;=10, "Known", "Future")</f>
        <v>Future</v>
      </c>
    </row>
    <row r="12" spans="1:14" x14ac:dyDescent="0.25">
      <c r="A12" s="6">
        <v>6947</v>
      </c>
      <c r="B12" s="6" t="s">
        <v>6</v>
      </c>
      <c r="C12" s="6">
        <v>2006</v>
      </c>
      <c r="D12" s="6">
        <v>2006</v>
      </c>
      <c r="E12" s="6">
        <v>1</v>
      </c>
      <c r="F12" s="7">
        <v>180995</v>
      </c>
      <c r="G12" s="7">
        <v>86424</v>
      </c>
      <c r="H12" s="7">
        <v>59583</v>
      </c>
      <c r="I12" s="7">
        <v>248235</v>
      </c>
      <c r="J12" s="7">
        <v>5017</v>
      </c>
      <c r="K12" s="7">
        <v>243218</v>
      </c>
      <c r="L12" s="6">
        <v>0</v>
      </c>
      <c r="M12" s="7">
        <v>169311.44</v>
      </c>
      <c r="N12" t="str">
        <f>IF((Table1[[#This Row],[AccidentYear]]-1998+1) + Table1[[#This Row],[DevelopmentLag]] - 1 &lt;=10, "Known", "Future")</f>
        <v>Known</v>
      </c>
    </row>
    <row r="13" spans="1:14" x14ac:dyDescent="0.25">
      <c r="A13" s="6">
        <v>6947</v>
      </c>
      <c r="B13" s="6" t="s">
        <v>6</v>
      </c>
      <c r="C13" s="6">
        <v>2006</v>
      </c>
      <c r="D13" s="6">
        <v>2007</v>
      </c>
      <c r="E13" s="6">
        <v>2</v>
      </c>
      <c r="F13" s="7">
        <v>171078</v>
      </c>
      <c r="G13" s="7">
        <v>140342</v>
      </c>
      <c r="H13" s="7">
        <v>15131</v>
      </c>
      <c r="I13" s="7">
        <v>248235</v>
      </c>
      <c r="J13" s="7">
        <v>5017</v>
      </c>
      <c r="K13" s="7">
        <v>243218</v>
      </c>
      <c r="L13" s="6">
        <v>0</v>
      </c>
      <c r="M13" s="7">
        <v>169311.44</v>
      </c>
      <c r="N13" t="str">
        <f>IF((Table1[[#This Row],[AccidentYear]]-1998+1) + Table1[[#This Row],[DevelopmentLag]] - 1 &lt;=10, "Known", "Future")</f>
        <v>Known</v>
      </c>
    </row>
    <row r="14" spans="1:14" x14ac:dyDescent="0.25">
      <c r="A14" s="6">
        <v>6947</v>
      </c>
      <c r="B14" s="6" t="s">
        <v>6</v>
      </c>
      <c r="C14" s="6">
        <v>2006</v>
      </c>
      <c r="D14" s="6">
        <v>2008</v>
      </c>
      <c r="E14" s="6">
        <v>3</v>
      </c>
      <c r="F14" s="7">
        <v>168101</v>
      </c>
      <c r="G14" s="7">
        <v>153423</v>
      </c>
      <c r="H14" s="7">
        <v>7086</v>
      </c>
      <c r="I14" s="7">
        <v>248235</v>
      </c>
      <c r="J14" s="7">
        <v>5017</v>
      </c>
      <c r="K14" s="7">
        <v>243218</v>
      </c>
      <c r="L14" s="6">
        <v>0</v>
      </c>
      <c r="M14" s="7">
        <v>169311.44</v>
      </c>
      <c r="N14" t="str">
        <f>IF((Table1[[#This Row],[AccidentYear]]-1998+1) + Table1[[#This Row],[DevelopmentLag]] - 1 &lt;=10, "Known", "Future")</f>
        <v>Future</v>
      </c>
    </row>
    <row r="15" spans="1:14" x14ac:dyDescent="0.25">
      <c r="A15" s="6">
        <v>6947</v>
      </c>
      <c r="B15" s="6" t="s">
        <v>6</v>
      </c>
      <c r="C15" s="6">
        <v>2006</v>
      </c>
      <c r="D15" s="6">
        <v>2009</v>
      </c>
      <c r="E15" s="6">
        <v>4</v>
      </c>
      <c r="F15" s="7">
        <v>166623</v>
      </c>
      <c r="G15" s="7">
        <v>161556</v>
      </c>
      <c r="H15" s="7">
        <v>1965</v>
      </c>
      <c r="I15" s="7">
        <v>248235</v>
      </c>
      <c r="J15" s="7">
        <v>5017</v>
      </c>
      <c r="K15" s="7">
        <v>243218</v>
      </c>
      <c r="L15" s="6">
        <v>0</v>
      </c>
      <c r="M15" s="7">
        <v>169311.44</v>
      </c>
      <c r="N15" t="str">
        <f>IF((Table1[[#This Row],[AccidentYear]]-1998+1) + Table1[[#This Row],[DevelopmentLag]] - 1 &lt;=10, "Known", "Future")</f>
        <v>Future</v>
      </c>
    </row>
    <row r="16" spans="1:14" x14ac:dyDescent="0.25">
      <c r="A16" s="6">
        <v>6947</v>
      </c>
      <c r="B16" s="6" t="s">
        <v>6</v>
      </c>
      <c r="C16" s="6">
        <v>2006</v>
      </c>
      <c r="D16" s="6">
        <v>2010</v>
      </c>
      <c r="E16" s="6">
        <v>5</v>
      </c>
      <c r="F16" s="7">
        <v>167079</v>
      </c>
      <c r="G16" s="7">
        <v>164289</v>
      </c>
      <c r="H16" s="7">
        <v>1071</v>
      </c>
      <c r="I16" s="7">
        <v>248235</v>
      </c>
      <c r="J16" s="7">
        <v>5017</v>
      </c>
      <c r="K16" s="7">
        <v>243218</v>
      </c>
      <c r="L16" s="6">
        <v>0</v>
      </c>
      <c r="M16" s="7">
        <v>169311.44</v>
      </c>
      <c r="N16" t="str">
        <f>IF((Table1[[#This Row],[AccidentYear]]-1998+1) + Table1[[#This Row],[DevelopmentLag]] - 1 &lt;=10, "Known", "Future")</f>
        <v>Future</v>
      </c>
    </row>
    <row r="17" spans="1:14" x14ac:dyDescent="0.25">
      <c r="A17" s="6">
        <v>6947</v>
      </c>
      <c r="B17" s="6" t="s">
        <v>6</v>
      </c>
      <c r="C17" s="6">
        <v>2006</v>
      </c>
      <c r="D17" s="6">
        <v>2011</v>
      </c>
      <c r="E17" s="6">
        <v>6</v>
      </c>
      <c r="F17" s="7">
        <v>167097</v>
      </c>
      <c r="G17" s="7">
        <v>165536</v>
      </c>
      <c r="H17" s="7">
        <v>749</v>
      </c>
      <c r="I17" s="7">
        <v>248235</v>
      </c>
      <c r="J17" s="7">
        <v>5017</v>
      </c>
      <c r="K17" s="7">
        <v>243218</v>
      </c>
      <c r="L17" s="6">
        <v>0</v>
      </c>
      <c r="M17" s="7">
        <v>169311.44</v>
      </c>
      <c r="N17" t="str">
        <f>IF((Table1[[#This Row],[AccidentYear]]-1998+1) + Table1[[#This Row],[DevelopmentLag]] - 1 &lt;=10, "Known", "Future")</f>
        <v>Future</v>
      </c>
    </row>
    <row r="18" spans="1:14" x14ac:dyDescent="0.25">
      <c r="A18" s="6">
        <v>6947</v>
      </c>
      <c r="B18" s="6" t="s">
        <v>6</v>
      </c>
      <c r="C18" s="6">
        <v>2006</v>
      </c>
      <c r="D18" s="6">
        <v>2012</v>
      </c>
      <c r="E18" s="6">
        <v>7</v>
      </c>
      <c r="F18" s="7">
        <v>166821</v>
      </c>
      <c r="G18" s="7">
        <v>165980</v>
      </c>
      <c r="H18" s="7">
        <v>350</v>
      </c>
      <c r="I18" s="7">
        <v>248235</v>
      </c>
      <c r="J18" s="7">
        <v>5017</v>
      </c>
      <c r="K18" s="7">
        <v>243218</v>
      </c>
      <c r="L18" s="6">
        <v>0</v>
      </c>
      <c r="M18" s="7">
        <v>169311.44</v>
      </c>
      <c r="N18" t="str">
        <f>IF((Table1[[#This Row],[AccidentYear]]-1998+1) + Table1[[#This Row],[DevelopmentLag]] - 1 &lt;=10, "Known", "Future")</f>
        <v>Future</v>
      </c>
    </row>
    <row r="19" spans="1:14" x14ac:dyDescent="0.25">
      <c r="A19" s="6">
        <v>6947</v>
      </c>
      <c r="B19" s="6" t="s">
        <v>6</v>
      </c>
      <c r="C19" s="6">
        <v>2006</v>
      </c>
      <c r="D19" s="6">
        <v>2013</v>
      </c>
      <c r="E19" s="6">
        <v>8</v>
      </c>
      <c r="F19" s="7">
        <v>166533</v>
      </c>
      <c r="G19" s="7">
        <v>166078</v>
      </c>
      <c r="H19" s="7">
        <v>136</v>
      </c>
      <c r="I19" s="7">
        <v>248235</v>
      </c>
      <c r="J19" s="7">
        <v>5017</v>
      </c>
      <c r="K19" s="7">
        <v>243218</v>
      </c>
      <c r="L19" s="6">
        <v>0</v>
      </c>
      <c r="M19" s="7">
        <v>169311.44</v>
      </c>
      <c r="N19" t="str">
        <f>IF((Table1[[#This Row],[AccidentYear]]-1998+1) + Table1[[#This Row],[DevelopmentLag]] - 1 &lt;=10, "Known", "Future")</f>
        <v>Future</v>
      </c>
    </row>
    <row r="20" spans="1:14" x14ac:dyDescent="0.25">
      <c r="A20" s="6">
        <v>6947</v>
      </c>
      <c r="B20" s="6" t="s">
        <v>6</v>
      </c>
      <c r="C20" s="6">
        <v>2006</v>
      </c>
      <c r="D20" s="6">
        <v>2014</v>
      </c>
      <c r="E20" s="6">
        <v>9</v>
      </c>
      <c r="F20" s="7">
        <v>166539</v>
      </c>
      <c r="G20" s="7">
        <v>166244</v>
      </c>
      <c r="H20" s="7">
        <v>35</v>
      </c>
      <c r="I20" s="7">
        <v>248235</v>
      </c>
      <c r="J20" s="7">
        <v>5017</v>
      </c>
      <c r="K20" s="7">
        <v>243218</v>
      </c>
      <c r="L20" s="6">
        <v>0</v>
      </c>
      <c r="M20" s="7">
        <v>169311.44</v>
      </c>
      <c r="N20" t="str">
        <f>IF((Table1[[#This Row],[AccidentYear]]-1998+1) + Table1[[#This Row],[DevelopmentLag]] - 1 &lt;=10, "Known", "Future")</f>
        <v>Future</v>
      </c>
    </row>
    <row r="21" spans="1:14" x14ac:dyDescent="0.25">
      <c r="A21" s="6">
        <v>6947</v>
      </c>
      <c r="B21" s="6" t="s">
        <v>6</v>
      </c>
      <c r="C21" s="6">
        <v>2006</v>
      </c>
      <c r="D21" s="6">
        <v>2015</v>
      </c>
      <c r="E21" s="6">
        <v>10</v>
      </c>
      <c r="F21" s="7">
        <v>166367</v>
      </c>
      <c r="G21" s="7">
        <v>166299</v>
      </c>
      <c r="H21" s="7">
        <v>30</v>
      </c>
      <c r="I21" s="7">
        <v>248235</v>
      </c>
      <c r="J21" s="7">
        <v>5017</v>
      </c>
      <c r="K21" s="7">
        <v>243218</v>
      </c>
      <c r="L21" s="6">
        <v>0</v>
      </c>
      <c r="M21" s="7">
        <v>169311.44</v>
      </c>
      <c r="N21" t="str">
        <f>IF((Table1[[#This Row],[AccidentYear]]-1998+1) + Table1[[#This Row],[DevelopmentLag]] - 1 &lt;=10, "Known", "Future")</f>
        <v>Future</v>
      </c>
    </row>
    <row r="22" spans="1:14" x14ac:dyDescent="0.25">
      <c r="A22" s="6">
        <v>6947</v>
      </c>
      <c r="B22" s="6" t="s">
        <v>6</v>
      </c>
      <c r="C22" s="6">
        <v>2005</v>
      </c>
      <c r="D22" s="6">
        <v>2005</v>
      </c>
      <c r="E22" s="6">
        <v>1</v>
      </c>
      <c r="F22" s="7">
        <v>184267</v>
      </c>
      <c r="G22" s="7">
        <v>98552</v>
      </c>
      <c r="H22" s="7">
        <v>55377</v>
      </c>
      <c r="I22" s="7">
        <v>236170</v>
      </c>
      <c r="J22" s="7">
        <v>5915</v>
      </c>
      <c r="K22" s="7">
        <v>230255</v>
      </c>
      <c r="L22" s="6">
        <v>0</v>
      </c>
      <c r="M22" s="7">
        <v>169311.44</v>
      </c>
      <c r="N22" t="str">
        <f>IF((Table1[[#This Row],[AccidentYear]]-1998+1) + Table1[[#This Row],[DevelopmentLag]] - 1 &lt;=10, "Known", "Future")</f>
        <v>Known</v>
      </c>
    </row>
    <row r="23" spans="1:14" x14ac:dyDescent="0.25">
      <c r="A23" s="6">
        <v>6947</v>
      </c>
      <c r="B23" s="6" t="s">
        <v>6</v>
      </c>
      <c r="C23" s="6">
        <v>2005</v>
      </c>
      <c r="D23" s="6">
        <v>2006</v>
      </c>
      <c r="E23" s="6">
        <v>2</v>
      </c>
      <c r="F23" s="7">
        <v>182038</v>
      </c>
      <c r="G23" s="7">
        <v>152039</v>
      </c>
      <c r="H23" s="7">
        <v>12726</v>
      </c>
      <c r="I23" s="7">
        <v>236170</v>
      </c>
      <c r="J23" s="7">
        <v>5915</v>
      </c>
      <c r="K23" s="7">
        <v>230255</v>
      </c>
      <c r="L23" s="6">
        <v>0</v>
      </c>
      <c r="M23" s="7">
        <v>169311.44</v>
      </c>
      <c r="N23" t="str">
        <f>IF((Table1[[#This Row],[AccidentYear]]-1998+1) + Table1[[#This Row],[DevelopmentLag]] - 1 &lt;=10, "Known", "Future")</f>
        <v>Known</v>
      </c>
    </row>
    <row r="24" spans="1:14" x14ac:dyDescent="0.25">
      <c r="A24" s="6">
        <v>6947</v>
      </c>
      <c r="B24" s="6" t="s">
        <v>6</v>
      </c>
      <c r="C24" s="6">
        <v>2005</v>
      </c>
      <c r="D24" s="6">
        <v>2007</v>
      </c>
      <c r="E24" s="6">
        <v>3</v>
      </c>
      <c r="F24" s="7">
        <v>180268</v>
      </c>
      <c r="G24" s="7">
        <v>165521</v>
      </c>
      <c r="H24" s="7">
        <v>5895</v>
      </c>
      <c r="I24" s="7">
        <v>236170</v>
      </c>
      <c r="J24" s="7">
        <v>5915</v>
      </c>
      <c r="K24" s="7">
        <v>230255</v>
      </c>
      <c r="L24" s="6">
        <v>0</v>
      </c>
      <c r="M24" s="7">
        <v>169311.44</v>
      </c>
      <c r="N24" t="str">
        <f>IF((Table1[[#This Row],[AccidentYear]]-1998+1) + Table1[[#This Row],[DevelopmentLag]] - 1 &lt;=10, "Known", "Future")</f>
        <v>Known</v>
      </c>
    </row>
    <row r="25" spans="1:14" x14ac:dyDescent="0.25">
      <c r="A25" s="6">
        <v>6947</v>
      </c>
      <c r="B25" s="6" t="s">
        <v>6</v>
      </c>
      <c r="C25" s="6">
        <v>2005</v>
      </c>
      <c r="D25" s="6">
        <v>2008</v>
      </c>
      <c r="E25" s="6">
        <v>4</v>
      </c>
      <c r="F25" s="7">
        <v>178706</v>
      </c>
      <c r="G25" s="7">
        <v>172512</v>
      </c>
      <c r="H25" s="7">
        <v>1942</v>
      </c>
      <c r="I25" s="7">
        <v>236170</v>
      </c>
      <c r="J25" s="7">
        <v>5915</v>
      </c>
      <c r="K25" s="7">
        <v>230255</v>
      </c>
      <c r="L25" s="6">
        <v>0</v>
      </c>
      <c r="M25" s="7">
        <v>169311.44</v>
      </c>
      <c r="N25" t="str">
        <f>IF((Table1[[#This Row],[AccidentYear]]-1998+1) + Table1[[#This Row],[DevelopmentLag]] - 1 &lt;=10, "Known", "Future")</f>
        <v>Future</v>
      </c>
    </row>
    <row r="26" spans="1:14" x14ac:dyDescent="0.25">
      <c r="A26" s="6">
        <v>6947</v>
      </c>
      <c r="B26" s="6" t="s">
        <v>6</v>
      </c>
      <c r="C26" s="6">
        <v>2005</v>
      </c>
      <c r="D26" s="6">
        <v>2009</v>
      </c>
      <c r="E26" s="6">
        <v>5</v>
      </c>
      <c r="F26" s="7">
        <v>178562</v>
      </c>
      <c r="G26" s="7">
        <v>176065</v>
      </c>
      <c r="H26" s="7">
        <v>1046</v>
      </c>
      <c r="I26" s="7">
        <v>236170</v>
      </c>
      <c r="J26" s="7">
        <v>5915</v>
      </c>
      <c r="K26" s="7">
        <v>230255</v>
      </c>
      <c r="L26" s="6">
        <v>0</v>
      </c>
      <c r="M26" s="7">
        <v>169311.44</v>
      </c>
      <c r="N26" t="str">
        <f>IF((Table1[[#This Row],[AccidentYear]]-1998+1) + Table1[[#This Row],[DevelopmentLag]] - 1 &lt;=10, "Known", "Future")</f>
        <v>Future</v>
      </c>
    </row>
    <row r="27" spans="1:14" x14ac:dyDescent="0.25">
      <c r="A27" s="6">
        <v>6947</v>
      </c>
      <c r="B27" s="6" t="s">
        <v>6</v>
      </c>
      <c r="C27" s="6">
        <v>2005</v>
      </c>
      <c r="D27" s="6">
        <v>2010</v>
      </c>
      <c r="E27" s="6">
        <v>6</v>
      </c>
      <c r="F27" s="7">
        <v>178443</v>
      </c>
      <c r="G27" s="7">
        <v>176865</v>
      </c>
      <c r="H27" s="7">
        <v>699</v>
      </c>
      <c r="I27" s="7">
        <v>236170</v>
      </c>
      <c r="J27" s="7">
        <v>5915</v>
      </c>
      <c r="K27" s="7">
        <v>230255</v>
      </c>
      <c r="L27" s="6">
        <v>0</v>
      </c>
      <c r="M27" s="7">
        <v>169311.44</v>
      </c>
      <c r="N27" t="str">
        <f>IF((Table1[[#This Row],[AccidentYear]]-1998+1) + Table1[[#This Row],[DevelopmentLag]] - 1 &lt;=10, "Known", "Future")</f>
        <v>Future</v>
      </c>
    </row>
    <row r="28" spans="1:14" x14ac:dyDescent="0.25">
      <c r="A28" s="6">
        <v>6947</v>
      </c>
      <c r="B28" s="6" t="s">
        <v>6</v>
      </c>
      <c r="C28" s="6">
        <v>2005</v>
      </c>
      <c r="D28" s="6">
        <v>2011</v>
      </c>
      <c r="E28" s="6">
        <v>7</v>
      </c>
      <c r="F28" s="7">
        <v>178318</v>
      </c>
      <c r="G28" s="7">
        <v>177414</v>
      </c>
      <c r="H28" s="7">
        <v>429</v>
      </c>
      <c r="I28" s="7">
        <v>236170</v>
      </c>
      <c r="J28" s="7">
        <v>5915</v>
      </c>
      <c r="K28" s="7">
        <v>230255</v>
      </c>
      <c r="L28" s="6">
        <v>0</v>
      </c>
      <c r="M28" s="7">
        <v>169311.44</v>
      </c>
      <c r="N28" t="str">
        <f>IF((Table1[[#This Row],[AccidentYear]]-1998+1) + Table1[[#This Row],[DevelopmentLag]] - 1 &lt;=10, "Known", "Future")</f>
        <v>Future</v>
      </c>
    </row>
    <row r="29" spans="1:14" x14ac:dyDescent="0.25">
      <c r="A29" s="6">
        <v>6947</v>
      </c>
      <c r="B29" s="6" t="s">
        <v>6</v>
      </c>
      <c r="C29" s="6">
        <v>2005</v>
      </c>
      <c r="D29" s="6">
        <v>2012</v>
      </c>
      <c r="E29" s="6">
        <v>8</v>
      </c>
      <c r="F29" s="7">
        <v>178097</v>
      </c>
      <c r="G29" s="7">
        <v>177800</v>
      </c>
      <c r="H29" s="7">
        <v>155</v>
      </c>
      <c r="I29" s="7">
        <v>236170</v>
      </c>
      <c r="J29" s="7">
        <v>5915</v>
      </c>
      <c r="K29" s="7">
        <v>230255</v>
      </c>
      <c r="L29" s="6">
        <v>0</v>
      </c>
      <c r="M29" s="7">
        <v>169311.44</v>
      </c>
      <c r="N29" t="str">
        <f>IF((Table1[[#This Row],[AccidentYear]]-1998+1) + Table1[[#This Row],[DevelopmentLag]] - 1 &lt;=10, "Known", "Future")</f>
        <v>Future</v>
      </c>
    </row>
    <row r="30" spans="1:14" x14ac:dyDescent="0.25">
      <c r="A30" s="6">
        <v>6947</v>
      </c>
      <c r="B30" s="6" t="s">
        <v>6</v>
      </c>
      <c r="C30" s="6">
        <v>2005</v>
      </c>
      <c r="D30" s="6">
        <v>2013</v>
      </c>
      <c r="E30" s="6">
        <v>9</v>
      </c>
      <c r="F30" s="7">
        <v>178004</v>
      </c>
      <c r="G30" s="7">
        <v>177884</v>
      </c>
      <c r="H30" s="7">
        <v>43</v>
      </c>
      <c r="I30" s="7">
        <v>236170</v>
      </c>
      <c r="J30" s="7">
        <v>5915</v>
      </c>
      <c r="K30" s="7">
        <v>230255</v>
      </c>
      <c r="L30" s="6">
        <v>0</v>
      </c>
      <c r="M30" s="7">
        <v>169311.44</v>
      </c>
      <c r="N30" t="str">
        <f>IF((Table1[[#This Row],[AccidentYear]]-1998+1) + Table1[[#This Row],[DevelopmentLag]] - 1 &lt;=10, "Known", "Future")</f>
        <v>Future</v>
      </c>
    </row>
    <row r="31" spans="1:14" x14ac:dyDescent="0.25">
      <c r="A31" s="6">
        <v>6947</v>
      </c>
      <c r="B31" s="6" t="s">
        <v>6</v>
      </c>
      <c r="C31" s="6">
        <v>2005</v>
      </c>
      <c r="D31" s="6">
        <v>2014</v>
      </c>
      <c r="E31" s="6">
        <v>10</v>
      </c>
      <c r="F31" s="7">
        <v>177967</v>
      </c>
      <c r="G31" s="7">
        <v>177890</v>
      </c>
      <c r="H31" s="7">
        <v>17</v>
      </c>
      <c r="I31" s="7">
        <v>236170</v>
      </c>
      <c r="J31" s="7">
        <v>5915</v>
      </c>
      <c r="K31" s="7">
        <v>230255</v>
      </c>
      <c r="L31" s="6">
        <v>0</v>
      </c>
      <c r="M31" s="7">
        <v>169311.44</v>
      </c>
      <c r="N31" t="str">
        <f>IF((Table1[[#This Row],[AccidentYear]]-1998+1) + Table1[[#This Row],[DevelopmentLag]] - 1 &lt;=10, "Known", "Future")</f>
        <v>Future</v>
      </c>
    </row>
    <row r="32" spans="1:14" x14ac:dyDescent="0.25">
      <c r="A32" s="6">
        <v>6947</v>
      </c>
      <c r="B32" s="6" t="s">
        <v>6</v>
      </c>
      <c r="C32" s="6">
        <v>2004</v>
      </c>
      <c r="D32" s="6">
        <v>2004</v>
      </c>
      <c r="E32" s="6">
        <v>1</v>
      </c>
      <c r="F32" s="7">
        <v>186965</v>
      </c>
      <c r="G32" s="7">
        <v>97575</v>
      </c>
      <c r="H32" s="7">
        <v>55806</v>
      </c>
      <c r="I32" s="7">
        <v>224282</v>
      </c>
      <c r="J32" s="7">
        <v>11736</v>
      </c>
      <c r="K32" s="7">
        <v>212546</v>
      </c>
      <c r="L32" s="6">
        <v>0</v>
      </c>
      <c r="M32" s="7">
        <v>169311.44</v>
      </c>
      <c r="N32" t="str">
        <f>IF((Table1[[#This Row],[AccidentYear]]-1998+1) + Table1[[#This Row],[DevelopmentLag]] - 1 &lt;=10, "Known", "Future")</f>
        <v>Known</v>
      </c>
    </row>
    <row r="33" spans="1:14" x14ac:dyDescent="0.25">
      <c r="A33" s="6">
        <v>6947</v>
      </c>
      <c r="B33" s="6" t="s">
        <v>6</v>
      </c>
      <c r="C33" s="6">
        <v>2004</v>
      </c>
      <c r="D33" s="6">
        <v>2005</v>
      </c>
      <c r="E33" s="6">
        <v>2</v>
      </c>
      <c r="F33" s="7">
        <v>180589</v>
      </c>
      <c r="G33" s="7">
        <v>146722</v>
      </c>
      <c r="H33" s="7">
        <v>14382</v>
      </c>
      <c r="I33" s="7">
        <v>224282</v>
      </c>
      <c r="J33" s="7">
        <v>11736</v>
      </c>
      <c r="K33" s="7">
        <v>212546</v>
      </c>
      <c r="L33" s="6">
        <v>0</v>
      </c>
      <c r="M33" s="7">
        <v>169311.44</v>
      </c>
      <c r="N33" t="str">
        <f>IF((Table1[[#This Row],[AccidentYear]]-1998+1) + Table1[[#This Row],[DevelopmentLag]] - 1 &lt;=10, "Known", "Future")</f>
        <v>Known</v>
      </c>
    </row>
    <row r="34" spans="1:14" x14ac:dyDescent="0.25">
      <c r="A34" s="6">
        <v>6947</v>
      </c>
      <c r="B34" s="6" t="s">
        <v>6</v>
      </c>
      <c r="C34" s="6">
        <v>2004</v>
      </c>
      <c r="D34" s="6">
        <v>2006</v>
      </c>
      <c r="E34" s="6">
        <v>3</v>
      </c>
      <c r="F34" s="7">
        <v>178132</v>
      </c>
      <c r="G34" s="7">
        <v>161677</v>
      </c>
      <c r="H34" s="7">
        <v>5457</v>
      </c>
      <c r="I34" s="7">
        <v>224282</v>
      </c>
      <c r="J34" s="7">
        <v>11736</v>
      </c>
      <c r="K34" s="7">
        <v>212546</v>
      </c>
      <c r="L34" s="6">
        <v>0</v>
      </c>
      <c r="M34" s="7">
        <v>169311.44</v>
      </c>
      <c r="N34" t="str">
        <f>IF((Table1[[#This Row],[AccidentYear]]-1998+1) + Table1[[#This Row],[DevelopmentLag]] - 1 &lt;=10, "Known", "Future")</f>
        <v>Known</v>
      </c>
    </row>
    <row r="35" spans="1:14" x14ac:dyDescent="0.25">
      <c r="A35" s="6">
        <v>6947</v>
      </c>
      <c r="B35" s="6" t="s">
        <v>6</v>
      </c>
      <c r="C35" s="6">
        <v>2004</v>
      </c>
      <c r="D35" s="6">
        <v>2007</v>
      </c>
      <c r="E35" s="6">
        <v>4</v>
      </c>
      <c r="F35" s="7">
        <v>176729</v>
      </c>
      <c r="G35" s="7">
        <v>170055</v>
      </c>
      <c r="H35" s="7">
        <v>1823</v>
      </c>
      <c r="I35" s="7">
        <v>224282</v>
      </c>
      <c r="J35" s="7">
        <v>11736</v>
      </c>
      <c r="K35" s="7">
        <v>212546</v>
      </c>
      <c r="L35" s="6">
        <v>0</v>
      </c>
      <c r="M35" s="7">
        <v>169311.44</v>
      </c>
      <c r="N35" t="str">
        <f>IF((Table1[[#This Row],[AccidentYear]]-1998+1) + Table1[[#This Row],[DevelopmentLag]] - 1 &lt;=10, "Known", "Future")</f>
        <v>Known</v>
      </c>
    </row>
    <row r="36" spans="1:14" x14ac:dyDescent="0.25">
      <c r="A36" s="6">
        <v>6947</v>
      </c>
      <c r="B36" s="6" t="s">
        <v>6</v>
      </c>
      <c r="C36" s="6">
        <v>2004</v>
      </c>
      <c r="D36" s="6">
        <v>2008</v>
      </c>
      <c r="E36" s="6">
        <v>5</v>
      </c>
      <c r="F36" s="7">
        <v>177149</v>
      </c>
      <c r="G36" s="7">
        <v>173821</v>
      </c>
      <c r="H36" s="7">
        <v>1107</v>
      </c>
      <c r="I36" s="7">
        <v>224282</v>
      </c>
      <c r="J36" s="7">
        <v>11736</v>
      </c>
      <c r="K36" s="7">
        <v>212546</v>
      </c>
      <c r="L36" s="6">
        <v>0</v>
      </c>
      <c r="M36" s="7">
        <v>169311.44</v>
      </c>
      <c r="N36" t="str">
        <f>IF((Table1[[#This Row],[AccidentYear]]-1998+1) + Table1[[#This Row],[DevelopmentLag]] - 1 &lt;=10, "Known", "Future")</f>
        <v>Future</v>
      </c>
    </row>
    <row r="37" spans="1:14" x14ac:dyDescent="0.25">
      <c r="A37" s="6">
        <v>6947</v>
      </c>
      <c r="B37" s="6" t="s">
        <v>6</v>
      </c>
      <c r="C37" s="6">
        <v>2004</v>
      </c>
      <c r="D37" s="6">
        <v>2009</v>
      </c>
      <c r="E37" s="6">
        <v>6</v>
      </c>
      <c r="F37" s="7">
        <v>177138</v>
      </c>
      <c r="G37" s="7">
        <v>175250</v>
      </c>
      <c r="H37" s="7">
        <v>694</v>
      </c>
      <c r="I37" s="7">
        <v>224282</v>
      </c>
      <c r="J37" s="7">
        <v>11736</v>
      </c>
      <c r="K37" s="7">
        <v>212546</v>
      </c>
      <c r="L37" s="6">
        <v>0</v>
      </c>
      <c r="M37" s="7">
        <v>169311.44</v>
      </c>
      <c r="N37" t="str">
        <f>IF((Table1[[#This Row],[AccidentYear]]-1998+1) + Table1[[#This Row],[DevelopmentLag]] - 1 &lt;=10, "Known", "Future")</f>
        <v>Future</v>
      </c>
    </row>
    <row r="38" spans="1:14" x14ac:dyDescent="0.25">
      <c r="A38" s="6">
        <v>6947</v>
      </c>
      <c r="B38" s="6" t="s">
        <v>6</v>
      </c>
      <c r="C38" s="6">
        <v>2004</v>
      </c>
      <c r="D38" s="6">
        <v>2010</v>
      </c>
      <c r="E38" s="6">
        <v>7</v>
      </c>
      <c r="F38" s="7">
        <v>176802</v>
      </c>
      <c r="G38" s="7">
        <v>175684</v>
      </c>
      <c r="H38" s="7">
        <v>539</v>
      </c>
      <c r="I38" s="7">
        <v>224282</v>
      </c>
      <c r="J38" s="7">
        <v>11736</v>
      </c>
      <c r="K38" s="7">
        <v>212546</v>
      </c>
      <c r="L38" s="6">
        <v>0</v>
      </c>
      <c r="M38" s="7">
        <v>169311.44</v>
      </c>
      <c r="N38" t="str">
        <f>IF((Table1[[#This Row],[AccidentYear]]-1998+1) + Table1[[#This Row],[DevelopmentLag]] - 1 &lt;=10, "Known", "Future")</f>
        <v>Future</v>
      </c>
    </row>
    <row r="39" spans="1:14" x14ac:dyDescent="0.25">
      <c r="A39" s="6">
        <v>6947</v>
      </c>
      <c r="B39" s="6" t="s">
        <v>6</v>
      </c>
      <c r="C39" s="6">
        <v>2004</v>
      </c>
      <c r="D39" s="6">
        <v>2011</v>
      </c>
      <c r="E39" s="6">
        <v>8</v>
      </c>
      <c r="F39" s="7">
        <v>176400</v>
      </c>
      <c r="G39" s="7">
        <v>175871</v>
      </c>
      <c r="H39" s="7">
        <v>254</v>
      </c>
      <c r="I39" s="7">
        <v>224282</v>
      </c>
      <c r="J39" s="7">
        <v>11736</v>
      </c>
      <c r="K39" s="7">
        <v>212546</v>
      </c>
      <c r="L39" s="6">
        <v>0</v>
      </c>
      <c r="M39" s="7">
        <v>169311.44</v>
      </c>
      <c r="N39" t="str">
        <f>IF((Table1[[#This Row],[AccidentYear]]-1998+1) + Table1[[#This Row],[DevelopmentLag]] - 1 &lt;=10, "Known", "Future")</f>
        <v>Future</v>
      </c>
    </row>
    <row r="40" spans="1:14" x14ac:dyDescent="0.25">
      <c r="A40" s="6">
        <v>6947</v>
      </c>
      <c r="B40" s="6" t="s">
        <v>6</v>
      </c>
      <c r="C40" s="6">
        <v>2004</v>
      </c>
      <c r="D40" s="6">
        <v>2012</v>
      </c>
      <c r="E40" s="6">
        <v>9</v>
      </c>
      <c r="F40" s="7">
        <v>176264</v>
      </c>
      <c r="G40" s="7">
        <v>176080</v>
      </c>
      <c r="H40" s="7">
        <v>67</v>
      </c>
      <c r="I40" s="7">
        <v>224282</v>
      </c>
      <c r="J40" s="7">
        <v>11736</v>
      </c>
      <c r="K40" s="7">
        <v>212546</v>
      </c>
      <c r="L40" s="6">
        <v>0</v>
      </c>
      <c r="M40" s="7">
        <v>169311.44</v>
      </c>
      <c r="N40" t="str">
        <f>IF((Table1[[#This Row],[AccidentYear]]-1998+1) + Table1[[#This Row],[DevelopmentLag]] - 1 &lt;=10, "Known", "Future")</f>
        <v>Future</v>
      </c>
    </row>
    <row r="41" spans="1:14" x14ac:dyDescent="0.25">
      <c r="A41" s="6">
        <v>6947</v>
      </c>
      <c r="B41" s="6" t="s">
        <v>6</v>
      </c>
      <c r="C41" s="6">
        <v>2004</v>
      </c>
      <c r="D41" s="6">
        <v>2013</v>
      </c>
      <c r="E41" s="6">
        <v>10</v>
      </c>
      <c r="F41" s="7">
        <v>176198</v>
      </c>
      <c r="G41" s="7">
        <v>176095</v>
      </c>
      <c r="H41" s="7">
        <v>21</v>
      </c>
      <c r="I41" s="7">
        <v>224282</v>
      </c>
      <c r="J41" s="7">
        <v>11736</v>
      </c>
      <c r="K41" s="7">
        <v>212546</v>
      </c>
      <c r="L41" s="6">
        <v>0</v>
      </c>
      <c r="M41" s="7">
        <v>169311.44</v>
      </c>
      <c r="N41" t="str">
        <f>IF((Table1[[#This Row],[AccidentYear]]-1998+1) + Table1[[#This Row],[DevelopmentLag]] - 1 &lt;=10, "Known", "Future")</f>
        <v>Future</v>
      </c>
    </row>
    <row r="42" spans="1:14" x14ac:dyDescent="0.25">
      <c r="A42" s="6">
        <v>6947</v>
      </c>
      <c r="B42" s="6" t="s">
        <v>6</v>
      </c>
      <c r="C42" s="6">
        <v>2003</v>
      </c>
      <c r="D42" s="6">
        <v>2003</v>
      </c>
      <c r="E42" s="6">
        <v>1</v>
      </c>
      <c r="F42" s="7">
        <v>168752</v>
      </c>
      <c r="G42" s="7">
        <v>81672</v>
      </c>
      <c r="H42" s="7">
        <v>52516</v>
      </c>
      <c r="I42" s="7">
        <v>214963</v>
      </c>
      <c r="J42" s="7">
        <v>7130</v>
      </c>
      <c r="K42" s="7">
        <v>207833</v>
      </c>
      <c r="L42" s="6">
        <v>0</v>
      </c>
      <c r="M42" s="7">
        <v>169311.44</v>
      </c>
      <c r="N42" t="str">
        <f>IF((Table1[[#This Row],[AccidentYear]]-1998+1) + Table1[[#This Row],[DevelopmentLag]] - 1 &lt;=10, "Known", "Future")</f>
        <v>Known</v>
      </c>
    </row>
    <row r="43" spans="1:14" x14ac:dyDescent="0.25">
      <c r="A43" s="6">
        <v>6947</v>
      </c>
      <c r="B43" s="6" t="s">
        <v>6</v>
      </c>
      <c r="C43" s="6">
        <v>2003</v>
      </c>
      <c r="D43" s="6">
        <v>2004</v>
      </c>
      <c r="E43" s="6">
        <v>2</v>
      </c>
      <c r="F43" s="7">
        <v>163755</v>
      </c>
      <c r="G43" s="7">
        <v>129999</v>
      </c>
      <c r="H43" s="7">
        <v>13622</v>
      </c>
      <c r="I43" s="7">
        <v>214963</v>
      </c>
      <c r="J43" s="7">
        <v>7130</v>
      </c>
      <c r="K43" s="7">
        <v>207833</v>
      </c>
      <c r="L43" s="6">
        <v>0</v>
      </c>
      <c r="M43" s="7">
        <v>169311.44</v>
      </c>
      <c r="N43" t="str">
        <f>IF((Table1[[#This Row],[AccidentYear]]-1998+1) + Table1[[#This Row],[DevelopmentLag]] - 1 &lt;=10, "Known", "Future")</f>
        <v>Known</v>
      </c>
    </row>
    <row r="44" spans="1:14" x14ac:dyDescent="0.25">
      <c r="A44" s="6">
        <v>6947</v>
      </c>
      <c r="B44" s="6" t="s">
        <v>6</v>
      </c>
      <c r="C44" s="6">
        <v>2003</v>
      </c>
      <c r="D44" s="6">
        <v>2005</v>
      </c>
      <c r="E44" s="6">
        <v>3</v>
      </c>
      <c r="F44" s="7">
        <v>159360</v>
      </c>
      <c r="G44" s="7">
        <v>143206</v>
      </c>
      <c r="H44" s="7">
        <v>4912</v>
      </c>
      <c r="I44" s="7">
        <v>214963</v>
      </c>
      <c r="J44" s="7">
        <v>7130</v>
      </c>
      <c r="K44" s="7">
        <v>207833</v>
      </c>
      <c r="L44" s="6">
        <v>0</v>
      </c>
      <c r="M44" s="7">
        <v>169311.44</v>
      </c>
      <c r="N44" t="str">
        <f>IF((Table1[[#This Row],[AccidentYear]]-1998+1) + Table1[[#This Row],[DevelopmentLag]] - 1 &lt;=10, "Known", "Future")</f>
        <v>Known</v>
      </c>
    </row>
    <row r="45" spans="1:14" x14ac:dyDescent="0.25">
      <c r="A45" s="6">
        <v>6947</v>
      </c>
      <c r="B45" s="6" t="s">
        <v>6</v>
      </c>
      <c r="C45" s="6">
        <v>2003</v>
      </c>
      <c r="D45" s="6">
        <v>2006</v>
      </c>
      <c r="E45" s="6">
        <v>4</v>
      </c>
      <c r="F45" s="7">
        <v>158810</v>
      </c>
      <c r="G45" s="7">
        <v>151112</v>
      </c>
      <c r="H45" s="7">
        <v>1710</v>
      </c>
      <c r="I45" s="7">
        <v>214963</v>
      </c>
      <c r="J45" s="7">
        <v>7130</v>
      </c>
      <c r="K45" s="7">
        <v>207833</v>
      </c>
      <c r="L45" s="6">
        <v>0</v>
      </c>
      <c r="M45" s="7">
        <v>169311.44</v>
      </c>
      <c r="N45" t="str">
        <f>IF((Table1[[#This Row],[AccidentYear]]-1998+1) + Table1[[#This Row],[DevelopmentLag]] - 1 &lt;=10, "Known", "Future")</f>
        <v>Known</v>
      </c>
    </row>
    <row r="46" spans="1:14" x14ac:dyDescent="0.25">
      <c r="A46" s="6">
        <v>6947</v>
      </c>
      <c r="B46" s="6" t="s">
        <v>6</v>
      </c>
      <c r="C46" s="6">
        <v>2003</v>
      </c>
      <c r="D46" s="6">
        <v>2007</v>
      </c>
      <c r="E46" s="6">
        <v>5</v>
      </c>
      <c r="F46" s="7">
        <v>158086</v>
      </c>
      <c r="G46" s="7">
        <v>154348</v>
      </c>
      <c r="H46" s="7">
        <v>944</v>
      </c>
      <c r="I46" s="7">
        <v>214963</v>
      </c>
      <c r="J46" s="7">
        <v>7130</v>
      </c>
      <c r="K46" s="7">
        <v>207833</v>
      </c>
      <c r="L46" s="6">
        <v>0</v>
      </c>
      <c r="M46" s="7">
        <v>169311.44</v>
      </c>
      <c r="N46" t="str">
        <f>IF((Table1[[#This Row],[AccidentYear]]-1998+1) + Table1[[#This Row],[DevelopmentLag]] - 1 &lt;=10, "Known", "Future")</f>
        <v>Known</v>
      </c>
    </row>
    <row r="47" spans="1:14" x14ac:dyDescent="0.25">
      <c r="A47" s="6">
        <v>6947</v>
      </c>
      <c r="B47" s="6" t="s">
        <v>6</v>
      </c>
      <c r="C47" s="6">
        <v>2003</v>
      </c>
      <c r="D47" s="6">
        <v>2008</v>
      </c>
      <c r="E47" s="6">
        <v>6</v>
      </c>
      <c r="F47" s="7">
        <v>157697</v>
      </c>
      <c r="G47" s="7">
        <v>155961</v>
      </c>
      <c r="H47" s="7">
        <v>697</v>
      </c>
      <c r="I47" s="7">
        <v>214963</v>
      </c>
      <c r="J47" s="7">
        <v>7130</v>
      </c>
      <c r="K47" s="7">
        <v>207833</v>
      </c>
      <c r="L47" s="6">
        <v>0</v>
      </c>
      <c r="M47" s="7">
        <v>169311.44</v>
      </c>
      <c r="N47" t="str">
        <f>IF((Table1[[#This Row],[AccidentYear]]-1998+1) + Table1[[#This Row],[DevelopmentLag]] - 1 &lt;=10, "Known", "Future")</f>
        <v>Future</v>
      </c>
    </row>
    <row r="48" spans="1:14" x14ac:dyDescent="0.25">
      <c r="A48" s="6">
        <v>6947</v>
      </c>
      <c r="B48" s="6" t="s">
        <v>6</v>
      </c>
      <c r="C48" s="6">
        <v>2003</v>
      </c>
      <c r="D48" s="6">
        <v>2009</v>
      </c>
      <c r="E48" s="6">
        <v>7</v>
      </c>
      <c r="F48" s="7">
        <v>157810</v>
      </c>
      <c r="G48" s="7">
        <v>156480</v>
      </c>
      <c r="H48" s="7">
        <v>664</v>
      </c>
      <c r="I48" s="7">
        <v>214963</v>
      </c>
      <c r="J48" s="7">
        <v>7130</v>
      </c>
      <c r="K48" s="7">
        <v>207833</v>
      </c>
      <c r="L48" s="6">
        <v>0</v>
      </c>
      <c r="M48" s="7">
        <v>169311.44</v>
      </c>
      <c r="N48" t="str">
        <f>IF((Table1[[#This Row],[AccidentYear]]-1998+1) + Table1[[#This Row],[DevelopmentLag]] - 1 &lt;=10, "Known", "Future")</f>
        <v>Future</v>
      </c>
    </row>
    <row r="49" spans="1:14" x14ac:dyDescent="0.25">
      <c r="A49" s="6">
        <v>6947</v>
      </c>
      <c r="B49" s="6" t="s">
        <v>6</v>
      </c>
      <c r="C49" s="6">
        <v>2003</v>
      </c>
      <c r="D49" s="6">
        <v>2010</v>
      </c>
      <c r="E49" s="6">
        <v>8</v>
      </c>
      <c r="F49" s="7">
        <v>157631</v>
      </c>
      <c r="G49" s="7">
        <v>156848</v>
      </c>
      <c r="H49" s="7">
        <v>366</v>
      </c>
      <c r="I49" s="7">
        <v>214963</v>
      </c>
      <c r="J49" s="7">
        <v>7130</v>
      </c>
      <c r="K49" s="7">
        <v>207833</v>
      </c>
      <c r="L49" s="6">
        <v>0</v>
      </c>
      <c r="M49" s="7">
        <v>169311.44</v>
      </c>
      <c r="N49" t="str">
        <f>IF((Table1[[#This Row],[AccidentYear]]-1998+1) + Table1[[#This Row],[DevelopmentLag]] - 1 &lt;=10, "Known", "Future")</f>
        <v>Future</v>
      </c>
    </row>
    <row r="50" spans="1:14" x14ac:dyDescent="0.25">
      <c r="A50" s="6">
        <v>6947</v>
      </c>
      <c r="B50" s="6" t="s">
        <v>6</v>
      </c>
      <c r="C50" s="6">
        <v>2003</v>
      </c>
      <c r="D50" s="6">
        <v>2011</v>
      </c>
      <c r="E50" s="6">
        <v>9</v>
      </c>
      <c r="F50" s="7">
        <v>157289</v>
      </c>
      <c r="G50" s="7">
        <v>157106</v>
      </c>
      <c r="H50" s="7">
        <v>116</v>
      </c>
      <c r="I50" s="7">
        <v>214963</v>
      </c>
      <c r="J50" s="7">
        <v>7130</v>
      </c>
      <c r="K50" s="7">
        <v>207833</v>
      </c>
      <c r="L50" s="6">
        <v>0</v>
      </c>
      <c r="M50" s="7">
        <v>169311.44</v>
      </c>
      <c r="N50" t="str">
        <f>IF((Table1[[#This Row],[AccidentYear]]-1998+1) + Table1[[#This Row],[DevelopmentLag]] - 1 &lt;=10, "Known", "Future")</f>
        <v>Future</v>
      </c>
    </row>
    <row r="51" spans="1:14" x14ac:dyDescent="0.25">
      <c r="A51" s="6">
        <v>6947</v>
      </c>
      <c r="B51" s="6" t="s">
        <v>6</v>
      </c>
      <c r="C51" s="6">
        <v>2003</v>
      </c>
      <c r="D51" s="6">
        <v>2012</v>
      </c>
      <c r="E51" s="6">
        <v>10</v>
      </c>
      <c r="F51" s="7">
        <v>157175</v>
      </c>
      <c r="G51" s="7">
        <v>157102</v>
      </c>
      <c r="H51" s="7">
        <v>39</v>
      </c>
      <c r="I51" s="7">
        <v>214963</v>
      </c>
      <c r="J51" s="7">
        <v>7130</v>
      </c>
      <c r="K51" s="7">
        <v>207833</v>
      </c>
      <c r="L51" s="6">
        <v>0</v>
      </c>
      <c r="M51" s="7">
        <v>169311.44</v>
      </c>
      <c r="N51" t="str">
        <f>IF((Table1[[#This Row],[AccidentYear]]-1998+1) + Table1[[#This Row],[DevelopmentLag]] - 1 &lt;=10, "Known", "Future")</f>
        <v>Future</v>
      </c>
    </row>
    <row r="52" spans="1:14" x14ac:dyDescent="0.25">
      <c r="A52" s="6">
        <v>6947</v>
      </c>
      <c r="B52" s="6" t="s">
        <v>6</v>
      </c>
      <c r="C52" s="6">
        <v>2002</v>
      </c>
      <c r="D52" s="6">
        <v>2002</v>
      </c>
      <c r="E52" s="6">
        <v>1</v>
      </c>
      <c r="F52" s="7">
        <v>162317</v>
      </c>
      <c r="G52" s="7">
        <v>82295</v>
      </c>
      <c r="H52" s="7">
        <v>49806</v>
      </c>
      <c r="I52" s="7">
        <v>207149</v>
      </c>
      <c r="J52" s="7">
        <v>5658</v>
      </c>
      <c r="K52" s="7">
        <v>201491</v>
      </c>
      <c r="L52" s="6">
        <v>0</v>
      </c>
      <c r="M52" s="7">
        <v>169311.44</v>
      </c>
      <c r="N52" t="str">
        <f>IF((Table1[[#This Row],[AccidentYear]]-1998+1) + Table1[[#This Row],[DevelopmentLag]] - 1 &lt;=10, "Known", "Future")</f>
        <v>Known</v>
      </c>
    </row>
    <row r="53" spans="1:14" x14ac:dyDescent="0.25">
      <c r="A53" s="6">
        <v>6947</v>
      </c>
      <c r="B53" s="6" t="s">
        <v>6</v>
      </c>
      <c r="C53" s="6">
        <v>2002</v>
      </c>
      <c r="D53" s="6">
        <v>2003</v>
      </c>
      <c r="E53" s="6">
        <v>2</v>
      </c>
      <c r="F53" s="7">
        <v>158198</v>
      </c>
      <c r="G53" s="7">
        <v>126112</v>
      </c>
      <c r="H53" s="7">
        <v>12628</v>
      </c>
      <c r="I53" s="7">
        <v>207149</v>
      </c>
      <c r="J53" s="7">
        <v>5658</v>
      </c>
      <c r="K53" s="7">
        <v>201491</v>
      </c>
      <c r="L53" s="6">
        <v>0</v>
      </c>
      <c r="M53" s="7">
        <v>169311.44</v>
      </c>
      <c r="N53" t="str">
        <f>IF((Table1[[#This Row],[AccidentYear]]-1998+1) + Table1[[#This Row],[DevelopmentLag]] - 1 &lt;=10, "Known", "Future")</f>
        <v>Known</v>
      </c>
    </row>
    <row r="54" spans="1:14" x14ac:dyDescent="0.25">
      <c r="A54" s="6">
        <v>6947</v>
      </c>
      <c r="B54" s="6" t="s">
        <v>6</v>
      </c>
      <c r="C54" s="6">
        <v>2002</v>
      </c>
      <c r="D54" s="6">
        <v>2004</v>
      </c>
      <c r="E54" s="6">
        <v>3</v>
      </c>
      <c r="F54" s="7">
        <v>154205</v>
      </c>
      <c r="G54" s="7">
        <v>139094</v>
      </c>
      <c r="H54" s="7">
        <v>4430</v>
      </c>
      <c r="I54" s="7">
        <v>207149</v>
      </c>
      <c r="J54" s="7">
        <v>5658</v>
      </c>
      <c r="K54" s="7">
        <v>201491</v>
      </c>
      <c r="L54" s="6">
        <v>0</v>
      </c>
      <c r="M54" s="7">
        <v>169311.44</v>
      </c>
      <c r="N54" t="str">
        <f>IF((Table1[[#This Row],[AccidentYear]]-1998+1) + Table1[[#This Row],[DevelopmentLag]] - 1 &lt;=10, "Known", "Future")</f>
        <v>Known</v>
      </c>
    </row>
    <row r="55" spans="1:14" x14ac:dyDescent="0.25">
      <c r="A55" s="6">
        <v>6947</v>
      </c>
      <c r="B55" s="6" t="s">
        <v>6</v>
      </c>
      <c r="C55" s="6">
        <v>2002</v>
      </c>
      <c r="D55" s="6">
        <v>2005</v>
      </c>
      <c r="E55" s="6">
        <v>4</v>
      </c>
      <c r="F55" s="7">
        <v>153344</v>
      </c>
      <c r="G55" s="7">
        <v>146112</v>
      </c>
      <c r="H55" s="7">
        <v>1522</v>
      </c>
      <c r="I55" s="7">
        <v>207149</v>
      </c>
      <c r="J55" s="7">
        <v>5658</v>
      </c>
      <c r="K55" s="7">
        <v>201491</v>
      </c>
      <c r="L55" s="6">
        <v>0</v>
      </c>
      <c r="M55" s="7">
        <v>169311.44</v>
      </c>
      <c r="N55" t="str">
        <f>IF((Table1[[#This Row],[AccidentYear]]-1998+1) + Table1[[#This Row],[DevelopmentLag]] - 1 &lt;=10, "Known", "Future")</f>
        <v>Known</v>
      </c>
    </row>
    <row r="56" spans="1:14" x14ac:dyDescent="0.25">
      <c r="A56" s="6">
        <v>6947</v>
      </c>
      <c r="B56" s="6" t="s">
        <v>6</v>
      </c>
      <c r="C56" s="6">
        <v>2002</v>
      </c>
      <c r="D56" s="6">
        <v>2006</v>
      </c>
      <c r="E56" s="6">
        <v>5</v>
      </c>
      <c r="F56" s="7">
        <v>153072</v>
      </c>
      <c r="G56" s="7">
        <v>149292</v>
      </c>
      <c r="H56" s="7">
        <v>780</v>
      </c>
      <c r="I56" s="7">
        <v>207149</v>
      </c>
      <c r="J56" s="7">
        <v>5658</v>
      </c>
      <c r="K56" s="7">
        <v>201491</v>
      </c>
      <c r="L56" s="6">
        <v>0</v>
      </c>
      <c r="M56" s="7">
        <v>169311.44</v>
      </c>
      <c r="N56" t="str">
        <f>IF((Table1[[#This Row],[AccidentYear]]-1998+1) + Table1[[#This Row],[DevelopmentLag]] - 1 &lt;=10, "Known", "Future")</f>
        <v>Known</v>
      </c>
    </row>
    <row r="57" spans="1:14" x14ac:dyDescent="0.25">
      <c r="A57" s="6">
        <v>6947</v>
      </c>
      <c r="B57" s="6" t="s">
        <v>6</v>
      </c>
      <c r="C57" s="6">
        <v>2002</v>
      </c>
      <c r="D57" s="6">
        <v>2007</v>
      </c>
      <c r="E57" s="6">
        <v>6</v>
      </c>
      <c r="F57" s="7">
        <v>152703</v>
      </c>
      <c r="G57" s="7">
        <v>150819</v>
      </c>
      <c r="H57" s="7">
        <v>535</v>
      </c>
      <c r="I57" s="7">
        <v>207149</v>
      </c>
      <c r="J57" s="7">
        <v>5658</v>
      </c>
      <c r="K57" s="7">
        <v>201491</v>
      </c>
      <c r="L57" s="6">
        <v>0</v>
      </c>
      <c r="M57" s="7">
        <v>169311.44</v>
      </c>
      <c r="N57" t="str">
        <f>IF((Table1[[#This Row],[AccidentYear]]-1998+1) + Table1[[#This Row],[DevelopmentLag]] - 1 &lt;=10, "Known", "Future")</f>
        <v>Known</v>
      </c>
    </row>
    <row r="58" spans="1:14" x14ac:dyDescent="0.25">
      <c r="A58" s="6">
        <v>6947</v>
      </c>
      <c r="B58" s="6" t="s">
        <v>6</v>
      </c>
      <c r="C58" s="6">
        <v>2002</v>
      </c>
      <c r="D58" s="6">
        <v>2008</v>
      </c>
      <c r="E58" s="6">
        <v>7</v>
      </c>
      <c r="F58" s="7">
        <v>152999</v>
      </c>
      <c r="G58" s="7">
        <v>151637</v>
      </c>
      <c r="H58" s="7">
        <v>705</v>
      </c>
      <c r="I58" s="7">
        <v>207149</v>
      </c>
      <c r="J58" s="7">
        <v>5658</v>
      </c>
      <c r="K58" s="7">
        <v>201491</v>
      </c>
      <c r="L58" s="6">
        <v>0</v>
      </c>
      <c r="M58" s="7">
        <v>169311.44</v>
      </c>
      <c r="N58" t="str">
        <f>IF((Table1[[#This Row],[AccidentYear]]-1998+1) + Table1[[#This Row],[DevelopmentLag]] - 1 &lt;=10, "Known", "Future")</f>
        <v>Future</v>
      </c>
    </row>
    <row r="59" spans="1:14" x14ac:dyDescent="0.25">
      <c r="A59" s="6">
        <v>6947</v>
      </c>
      <c r="B59" s="6" t="s">
        <v>6</v>
      </c>
      <c r="C59" s="6">
        <v>2002</v>
      </c>
      <c r="D59" s="6">
        <v>2009</v>
      </c>
      <c r="E59" s="6">
        <v>8</v>
      </c>
      <c r="F59" s="7">
        <v>152788</v>
      </c>
      <c r="G59" s="7">
        <v>151990</v>
      </c>
      <c r="H59" s="7">
        <v>492</v>
      </c>
      <c r="I59" s="7">
        <v>207149</v>
      </c>
      <c r="J59" s="7">
        <v>5658</v>
      </c>
      <c r="K59" s="7">
        <v>201491</v>
      </c>
      <c r="L59" s="6">
        <v>0</v>
      </c>
      <c r="M59" s="7">
        <v>169311.44</v>
      </c>
      <c r="N59" t="str">
        <f>IF((Table1[[#This Row],[AccidentYear]]-1998+1) + Table1[[#This Row],[DevelopmentLag]] - 1 &lt;=10, "Known", "Future")</f>
        <v>Future</v>
      </c>
    </row>
    <row r="60" spans="1:14" x14ac:dyDescent="0.25">
      <c r="A60" s="6">
        <v>6947</v>
      </c>
      <c r="B60" s="6" t="s">
        <v>6</v>
      </c>
      <c r="C60" s="6">
        <v>2002</v>
      </c>
      <c r="D60" s="6">
        <v>2010</v>
      </c>
      <c r="E60" s="6">
        <v>9</v>
      </c>
      <c r="F60" s="7">
        <v>152593</v>
      </c>
      <c r="G60" s="7">
        <v>152246</v>
      </c>
      <c r="H60" s="7">
        <v>209</v>
      </c>
      <c r="I60" s="7">
        <v>207149</v>
      </c>
      <c r="J60" s="7">
        <v>5658</v>
      </c>
      <c r="K60" s="7">
        <v>201491</v>
      </c>
      <c r="L60" s="6">
        <v>0</v>
      </c>
      <c r="M60" s="7">
        <v>169311.44</v>
      </c>
      <c r="N60" t="str">
        <f>IF((Table1[[#This Row],[AccidentYear]]-1998+1) + Table1[[#This Row],[DevelopmentLag]] - 1 &lt;=10, "Known", "Future")</f>
        <v>Future</v>
      </c>
    </row>
    <row r="61" spans="1:14" x14ac:dyDescent="0.25">
      <c r="A61" s="6">
        <v>6947</v>
      </c>
      <c r="B61" s="6" t="s">
        <v>6</v>
      </c>
      <c r="C61" s="6">
        <v>2002</v>
      </c>
      <c r="D61" s="6">
        <v>2011</v>
      </c>
      <c r="E61" s="6">
        <v>10</v>
      </c>
      <c r="F61" s="7">
        <v>152449</v>
      </c>
      <c r="G61" s="7">
        <v>152346</v>
      </c>
      <c r="H61" s="7">
        <v>73</v>
      </c>
      <c r="I61" s="7">
        <v>207149</v>
      </c>
      <c r="J61" s="7">
        <v>5658</v>
      </c>
      <c r="K61" s="7">
        <v>201491</v>
      </c>
      <c r="L61" s="6">
        <v>0</v>
      </c>
      <c r="M61" s="7">
        <v>169311.44</v>
      </c>
      <c r="N61" t="str">
        <f>IF((Table1[[#This Row],[AccidentYear]]-1998+1) + Table1[[#This Row],[DevelopmentLag]] - 1 &lt;=10, "Known", "Future")</f>
        <v>Future</v>
      </c>
    </row>
    <row r="62" spans="1:14" x14ac:dyDescent="0.25">
      <c r="A62" s="6">
        <v>6947</v>
      </c>
      <c r="B62" s="6" t="s">
        <v>6</v>
      </c>
      <c r="C62" s="6">
        <v>2001</v>
      </c>
      <c r="D62" s="6">
        <v>2001</v>
      </c>
      <c r="E62" s="6">
        <v>1</v>
      </c>
      <c r="F62" s="7">
        <v>154848</v>
      </c>
      <c r="G62" s="7">
        <v>79831</v>
      </c>
      <c r="H62" s="7">
        <v>47506</v>
      </c>
      <c r="I62" s="7">
        <v>191135</v>
      </c>
      <c r="J62" s="7">
        <v>9151</v>
      </c>
      <c r="K62" s="7">
        <v>181984</v>
      </c>
      <c r="L62" s="6">
        <v>0</v>
      </c>
      <c r="M62" s="7">
        <v>169311.44</v>
      </c>
      <c r="N62" t="str">
        <f>IF((Table1[[#This Row],[AccidentYear]]-1998+1) + Table1[[#This Row],[DevelopmentLag]] - 1 &lt;=10, "Known", "Future")</f>
        <v>Known</v>
      </c>
    </row>
    <row r="63" spans="1:14" x14ac:dyDescent="0.25">
      <c r="A63" s="6">
        <v>6947</v>
      </c>
      <c r="B63" s="6" t="s">
        <v>6</v>
      </c>
      <c r="C63" s="6">
        <v>2001</v>
      </c>
      <c r="D63" s="6">
        <v>2002</v>
      </c>
      <c r="E63" s="6">
        <v>2</v>
      </c>
      <c r="F63" s="7">
        <v>146765</v>
      </c>
      <c r="G63" s="7">
        <v>120247</v>
      </c>
      <c r="H63" s="7">
        <v>11084</v>
      </c>
      <c r="I63" s="7">
        <v>191135</v>
      </c>
      <c r="J63" s="7">
        <v>9151</v>
      </c>
      <c r="K63" s="7">
        <v>181984</v>
      </c>
      <c r="L63" s="6">
        <v>0</v>
      </c>
      <c r="M63" s="7">
        <v>169311.44</v>
      </c>
      <c r="N63" t="str">
        <f>IF((Table1[[#This Row],[AccidentYear]]-1998+1) + Table1[[#This Row],[DevelopmentLag]] - 1 &lt;=10, "Known", "Future")</f>
        <v>Known</v>
      </c>
    </row>
    <row r="64" spans="1:14" x14ac:dyDescent="0.25">
      <c r="A64" s="6">
        <v>6947</v>
      </c>
      <c r="B64" s="6" t="s">
        <v>6</v>
      </c>
      <c r="C64" s="6">
        <v>2001</v>
      </c>
      <c r="D64" s="6">
        <v>2003</v>
      </c>
      <c r="E64" s="6">
        <v>3</v>
      </c>
      <c r="F64" s="7">
        <v>143940</v>
      </c>
      <c r="G64" s="7">
        <v>131574</v>
      </c>
      <c r="H64" s="7">
        <v>3942</v>
      </c>
      <c r="I64" s="7">
        <v>191135</v>
      </c>
      <c r="J64" s="7">
        <v>9151</v>
      </c>
      <c r="K64" s="7">
        <v>181984</v>
      </c>
      <c r="L64" s="6">
        <v>0</v>
      </c>
      <c r="M64" s="7">
        <v>169311.44</v>
      </c>
      <c r="N64" t="str">
        <f>IF((Table1[[#This Row],[AccidentYear]]-1998+1) + Table1[[#This Row],[DevelopmentLag]] - 1 &lt;=10, "Known", "Future")</f>
        <v>Known</v>
      </c>
    </row>
    <row r="65" spans="1:14" x14ac:dyDescent="0.25">
      <c r="A65" s="6">
        <v>6947</v>
      </c>
      <c r="B65" s="6" t="s">
        <v>6</v>
      </c>
      <c r="C65" s="6">
        <v>2001</v>
      </c>
      <c r="D65" s="6">
        <v>2004</v>
      </c>
      <c r="E65" s="6">
        <v>4</v>
      </c>
      <c r="F65" s="7">
        <v>142200</v>
      </c>
      <c r="G65" s="7">
        <v>137030</v>
      </c>
      <c r="H65" s="7">
        <v>1247</v>
      </c>
      <c r="I65" s="7">
        <v>191135</v>
      </c>
      <c r="J65" s="7">
        <v>9151</v>
      </c>
      <c r="K65" s="7">
        <v>181984</v>
      </c>
      <c r="L65" s="6">
        <v>0</v>
      </c>
      <c r="M65" s="7">
        <v>169311.44</v>
      </c>
      <c r="N65" t="str">
        <f>IF((Table1[[#This Row],[AccidentYear]]-1998+1) + Table1[[#This Row],[DevelopmentLag]] - 1 &lt;=10, "Known", "Future")</f>
        <v>Known</v>
      </c>
    </row>
    <row r="66" spans="1:14" x14ac:dyDescent="0.25">
      <c r="A66" s="6">
        <v>6947</v>
      </c>
      <c r="B66" s="6" t="s">
        <v>6</v>
      </c>
      <c r="C66" s="6">
        <v>2001</v>
      </c>
      <c r="D66" s="6">
        <v>2005</v>
      </c>
      <c r="E66" s="6">
        <v>5</v>
      </c>
      <c r="F66" s="7">
        <v>142224</v>
      </c>
      <c r="G66" s="7">
        <v>139402</v>
      </c>
      <c r="H66" s="7">
        <v>656</v>
      </c>
      <c r="I66" s="7">
        <v>191135</v>
      </c>
      <c r="J66" s="7">
        <v>9151</v>
      </c>
      <c r="K66" s="7">
        <v>181984</v>
      </c>
      <c r="L66" s="6">
        <v>0</v>
      </c>
      <c r="M66" s="7">
        <v>169311.44</v>
      </c>
      <c r="N66" t="str">
        <f>IF((Table1[[#This Row],[AccidentYear]]-1998+1) + Table1[[#This Row],[DevelopmentLag]] - 1 &lt;=10, "Known", "Future")</f>
        <v>Known</v>
      </c>
    </row>
    <row r="67" spans="1:14" x14ac:dyDescent="0.25">
      <c r="A67" s="6">
        <v>6947</v>
      </c>
      <c r="B67" s="6" t="s">
        <v>6</v>
      </c>
      <c r="C67" s="6">
        <v>2001</v>
      </c>
      <c r="D67" s="6">
        <v>2006</v>
      </c>
      <c r="E67" s="6">
        <v>6</v>
      </c>
      <c r="F67" s="7">
        <v>142729</v>
      </c>
      <c r="G67" s="7">
        <v>141446</v>
      </c>
      <c r="H67" s="7">
        <v>331</v>
      </c>
      <c r="I67" s="7">
        <v>191135</v>
      </c>
      <c r="J67" s="7">
        <v>9151</v>
      </c>
      <c r="K67" s="7">
        <v>181984</v>
      </c>
      <c r="L67" s="6">
        <v>0</v>
      </c>
      <c r="M67" s="7">
        <v>169311.44</v>
      </c>
      <c r="N67" t="str">
        <f>IF((Table1[[#This Row],[AccidentYear]]-1998+1) + Table1[[#This Row],[DevelopmentLag]] - 1 &lt;=10, "Known", "Future")</f>
        <v>Known</v>
      </c>
    </row>
    <row r="68" spans="1:14" x14ac:dyDescent="0.25">
      <c r="A68" s="6">
        <v>6947</v>
      </c>
      <c r="B68" s="6" t="s">
        <v>6</v>
      </c>
      <c r="C68" s="6">
        <v>2001</v>
      </c>
      <c r="D68" s="6">
        <v>2007</v>
      </c>
      <c r="E68" s="6">
        <v>7</v>
      </c>
      <c r="F68" s="7">
        <v>142873</v>
      </c>
      <c r="G68" s="7">
        <v>141816</v>
      </c>
      <c r="H68" s="7">
        <v>483</v>
      </c>
      <c r="I68" s="7">
        <v>191135</v>
      </c>
      <c r="J68" s="7">
        <v>9151</v>
      </c>
      <c r="K68" s="7">
        <v>181984</v>
      </c>
      <c r="L68" s="6">
        <v>0</v>
      </c>
      <c r="M68" s="7">
        <v>169311.44</v>
      </c>
      <c r="N68" t="str">
        <f>IF((Table1[[#This Row],[AccidentYear]]-1998+1) + Table1[[#This Row],[DevelopmentLag]] - 1 &lt;=10, "Known", "Future")</f>
        <v>Known</v>
      </c>
    </row>
    <row r="69" spans="1:14" x14ac:dyDescent="0.25">
      <c r="A69" s="6">
        <v>6947</v>
      </c>
      <c r="B69" s="6" t="s">
        <v>6</v>
      </c>
      <c r="C69" s="6">
        <v>2001</v>
      </c>
      <c r="D69" s="6">
        <v>2008</v>
      </c>
      <c r="E69" s="6">
        <v>8</v>
      </c>
      <c r="F69" s="7">
        <v>142962</v>
      </c>
      <c r="G69" s="7">
        <v>142178</v>
      </c>
      <c r="H69" s="7">
        <v>524</v>
      </c>
      <c r="I69" s="7">
        <v>191135</v>
      </c>
      <c r="J69" s="7">
        <v>9151</v>
      </c>
      <c r="K69" s="7">
        <v>181984</v>
      </c>
      <c r="L69" s="6">
        <v>0</v>
      </c>
      <c r="M69" s="7">
        <v>169311.44</v>
      </c>
      <c r="N69" t="str">
        <f>IF((Table1[[#This Row],[AccidentYear]]-1998+1) + Table1[[#This Row],[DevelopmentLag]] - 1 &lt;=10, "Known", "Future")</f>
        <v>Future</v>
      </c>
    </row>
    <row r="70" spans="1:14" x14ac:dyDescent="0.25">
      <c r="A70" s="6">
        <v>6947</v>
      </c>
      <c r="B70" s="6" t="s">
        <v>6</v>
      </c>
      <c r="C70" s="6">
        <v>2001</v>
      </c>
      <c r="D70" s="6">
        <v>2009</v>
      </c>
      <c r="E70" s="6">
        <v>9</v>
      </c>
      <c r="F70" s="7">
        <v>143069</v>
      </c>
      <c r="G70" s="7">
        <v>142494</v>
      </c>
      <c r="H70" s="7">
        <v>420</v>
      </c>
      <c r="I70" s="7">
        <v>191135</v>
      </c>
      <c r="J70" s="7">
        <v>9151</v>
      </c>
      <c r="K70" s="7">
        <v>181984</v>
      </c>
      <c r="L70" s="6">
        <v>0</v>
      </c>
      <c r="M70" s="7">
        <v>169311.44</v>
      </c>
      <c r="N70" t="str">
        <f>IF((Table1[[#This Row],[AccidentYear]]-1998+1) + Table1[[#This Row],[DevelopmentLag]] - 1 &lt;=10, "Known", "Future")</f>
        <v>Future</v>
      </c>
    </row>
    <row r="71" spans="1:14" x14ac:dyDescent="0.25">
      <c r="A71" s="6">
        <v>6947</v>
      </c>
      <c r="B71" s="6" t="s">
        <v>6</v>
      </c>
      <c r="C71" s="6">
        <v>2001</v>
      </c>
      <c r="D71" s="6">
        <v>2010</v>
      </c>
      <c r="E71" s="6">
        <v>10</v>
      </c>
      <c r="F71" s="7">
        <v>142822</v>
      </c>
      <c r="G71" s="7">
        <v>142536</v>
      </c>
      <c r="H71" s="7">
        <v>175</v>
      </c>
      <c r="I71" s="7">
        <v>191135</v>
      </c>
      <c r="J71" s="7">
        <v>9151</v>
      </c>
      <c r="K71" s="7">
        <v>181984</v>
      </c>
      <c r="L71" s="6">
        <v>0</v>
      </c>
      <c r="M71" s="7">
        <v>169311.44</v>
      </c>
      <c r="N71" t="str">
        <f>IF((Table1[[#This Row],[AccidentYear]]-1998+1) + Table1[[#This Row],[DevelopmentLag]] - 1 &lt;=10, "Known", "Future")</f>
        <v>Future</v>
      </c>
    </row>
    <row r="72" spans="1:14" x14ac:dyDescent="0.25">
      <c r="A72" s="6">
        <v>6947</v>
      </c>
      <c r="B72" s="6" t="s">
        <v>6</v>
      </c>
      <c r="C72" s="6">
        <v>2000</v>
      </c>
      <c r="D72" s="6">
        <v>2000</v>
      </c>
      <c r="E72" s="6">
        <v>1</v>
      </c>
      <c r="F72" s="7">
        <v>153781</v>
      </c>
      <c r="G72" s="7">
        <v>76960</v>
      </c>
      <c r="H72" s="7">
        <v>46615</v>
      </c>
      <c r="I72" s="7">
        <v>183981</v>
      </c>
      <c r="J72" s="7">
        <v>7827</v>
      </c>
      <c r="K72" s="7">
        <v>176154</v>
      </c>
      <c r="L72" s="6">
        <v>0</v>
      </c>
      <c r="M72" s="7">
        <v>169311.44</v>
      </c>
      <c r="N72" t="str">
        <f>IF((Table1[[#This Row],[AccidentYear]]-1998+1) + Table1[[#This Row],[DevelopmentLag]] - 1 &lt;=10, "Known", "Future")</f>
        <v>Known</v>
      </c>
    </row>
    <row r="73" spans="1:14" x14ac:dyDescent="0.25">
      <c r="A73" s="6">
        <v>6947</v>
      </c>
      <c r="B73" s="6" t="s">
        <v>6</v>
      </c>
      <c r="C73" s="6">
        <v>2000</v>
      </c>
      <c r="D73" s="6">
        <v>2001</v>
      </c>
      <c r="E73" s="6">
        <v>2</v>
      </c>
      <c r="F73" s="7">
        <v>149326</v>
      </c>
      <c r="G73" s="7">
        <v>119712</v>
      </c>
      <c r="H73" s="7">
        <v>13082</v>
      </c>
      <c r="I73" s="7">
        <v>183981</v>
      </c>
      <c r="J73" s="7">
        <v>7827</v>
      </c>
      <c r="K73" s="7">
        <v>176154</v>
      </c>
      <c r="L73" s="6">
        <v>0</v>
      </c>
      <c r="M73" s="7">
        <v>169311.44</v>
      </c>
      <c r="N73" t="str">
        <f>IF((Table1[[#This Row],[AccidentYear]]-1998+1) + Table1[[#This Row],[DevelopmentLag]] - 1 &lt;=10, "Known", "Future")</f>
        <v>Known</v>
      </c>
    </row>
    <row r="74" spans="1:14" x14ac:dyDescent="0.25">
      <c r="A74" s="6">
        <v>6947</v>
      </c>
      <c r="B74" s="6" t="s">
        <v>6</v>
      </c>
      <c r="C74" s="6">
        <v>2000</v>
      </c>
      <c r="D74" s="6">
        <v>2002</v>
      </c>
      <c r="E74" s="6">
        <v>3</v>
      </c>
      <c r="F74" s="7">
        <v>143327</v>
      </c>
      <c r="G74" s="7">
        <v>130613</v>
      </c>
      <c r="H74" s="7">
        <v>4090</v>
      </c>
      <c r="I74" s="7">
        <v>183981</v>
      </c>
      <c r="J74" s="7">
        <v>7827</v>
      </c>
      <c r="K74" s="7">
        <v>176154</v>
      </c>
      <c r="L74" s="6">
        <v>0</v>
      </c>
      <c r="M74" s="7">
        <v>169311.44</v>
      </c>
      <c r="N74" t="str">
        <f>IF((Table1[[#This Row],[AccidentYear]]-1998+1) + Table1[[#This Row],[DevelopmentLag]] - 1 &lt;=10, "Known", "Future")</f>
        <v>Known</v>
      </c>
    </row>
    <row r="75" spans="1:14" x14ac:dyDescent="0.25">
      <c r="A75" s="6">
        <v>6947</v>
      </c>
      <c r="B75" s="6" t="s">
        <v>6</v>
      </c>
      <c r="C75" s="6">
        <v>2000</v>
      </c>
      <c r="D75" s="6">
        <v>2003</v>
      </c>
      <c r="E75" s="6">
        <v>4</v>
      </c>
      <c r="F75" s="7">
        <v>142504</v>
      </c>
      <c r="G75" s="7">
        <v>137202</v>
      </c>
      <c r="H75" s="7">
        <v>1388</v>
      </c>
      <c r="I75" s="7">
        <v>183981</v>
      </c>
      <c r="J75" s="7">
        <v>7827</v>
      </c>
      <c r="K75" s="7">
        <v>176154</v>
      </c>
      <c r="L75" s="6">
        <v>0</v>
      </c>
      <c r="M75" s="7">
        <v>169311.44</v>
      </c>
      <c r="N75" t="str">
        <f>IF((Table1[[#This Row],[AccidentYear]]-1998+1) + Table1[[#This Row],[DevelopmentLag]] - 1 &lt;=10, "Known", "Future")</f>
        <v>Known</v>
      </c>
    </row>
    <row r="76" spans="1:14" x14ac:dyDescent="0.25">
      <c r="A76" s="6">
        <v>6947</v>
      </c>
      <c r="B76" s="6" t="s">
        <v>6</v>
      </c>
      <c r="C76" s="6">
        <v>2000</v>
      </c>
      <c r="D76" s="6">
        <v>2004</v>
      </c>
      <c r="E76" s="6">
        <v>5</v>
      </c>
      <c r="F76" s="7">
        <v>142049</v>
      </c>
      <c r="G76" s="7">
        <v>139337</v>
      </c>
      <c r="H76" s="7">
        <v>706</v>
      </c>
      <c r="I76" s="7">
        <v>183981</v>
      </c>
      <c r="J76" s="7">
        <v>7827</v>
      </c>
      <c r="K76" s="7">
        <v>176154</v>
      </c>
      <c r="L76" s="6">
        <v>0</v>
      </c>
      <c r="M76" s="7">
        <v>169311.44</v>
      </c>
      <c r="N76" t="str">
        <f>IF((Table1[[#This Row],[AccidentYear]]-1998+1) + Table1[[#This Row],[DevelopmentLag]] - 1 &lt;=10, "Known", "Future")</f>
        <v>Known</v>
      </c>
    </row>
    <row r="77" spans="1:14" x14ac:dyDescent="0.25">
      <c r="A77" s="6">
        <v>6947</v>
      </c>
      <c r="B77" s="6" t="s">
        <v>6</v>
      </c>
      <c r="C77" s="6">
        <v>2000</v>
      </c>
      <c r="D77" s="6">
        <v>2005</v>
      </c>
      <c r="E77" s="6">
        <v>6</v>
      </c>
      <c r="F77" s="7">
        <v>141936</v>
      </c>
      <c r="G77" s="7">
        <v>140522</v>
      </c>
      <c r="H77" s="7">
        <v>355</v>
      </c>
      <c r="I77" s="7">
        <v>183981</v>
      </c>
      <c r="J77" s="7">
        <v>7827</v>
      </c>
      <c r="K77" s="7">
        <v>176154</v>
      </c>
      <c r="L77" s="6">
        <v>0</v>
      </c>
      <c r="M77" s="7">
        <v>169311.44</v>
      </c>
      <c r="N77" t="str">
        <f>IF((Table1[[#This Row],[AccidentYear]]-1998+1) + Table1[[#This Row],[DevelopmentLag]] - 1 &lt;=10, "Known", "Future")</f>
        <v>Known</v>
      </c>
    </row>
    <row r="78" spans="1:14" x14ac:dyDescent="0.25">
      <c r="A78" s="6">
        <v>6947</v>
      </c>
      <c r="B78" s="6" t="s">
        <v>6</v>
      </c>
      <c r="C78" s="6">
        <v>2000</v>
      </c>
      <c r="D78" s="6">
        <v>2006</v>
      </c>
      <c r="E78" s="6">
        <v>7</v>
      </c>
      <c r="F78" s="7">
        <v>141703</v>
      </c>
      <c r="G78" s="7">
        <v>141045</v>
      </c>
      <c r="H78" s="7">
        <v>194</v>
      </c>
      <c r="I78" s="7">
        <v>183981</v>
      </c>
      <c r="J78" s="7">
        <v>7827</v>
      </c>
      <c r="K78" s="7">
        <v>176154</v>
      </c>
      <c r="L78" s="6">
        <v>0</v>
      </c>
      <c r="M78" s="7">
        <v>169311.44</v>
      </c>
      <c r="N78" t="str">
        <f>IF((Table1[[#This Row],[AccidentYear]]-1998+1) + Table1[[#This Row],[DevelopmentLag]] - 1 &lt;=10, "Known", "Future")</f>
        <v>Known</v>
      </c>
    </row>
    <row r="79" spans="1:14" x14ac:dyDescent="0.25">
      <c r="A79" s="6">
        <v>6947</v>
      </c>
      <c r="B79" s="6" t="s">
        <v>6</v>
      </c>
      <c r="C79" s="6">
        <v>2000</v>
      </c>
      <c r="D79" s="6">
        <v>2007</v>
      </c>
      <c r="E79" s="6">
        <v>8</v>
      </c>
      <c r="F79" s="7">
        <v>141847</v>
      </c>
      <c r="G79" s="7">
        <v>141264</v>
      </c>
      <c r="H79" s="7">
        <v>403</v>
      </c>
      <c r="I79" s="7">
        <v>183981</v>
      </c>
      <c r="J79" s="7">
        <v>7827</v>
      </c>
      <c r="K79" s="7">
        <v>176154</v>
      </c>
      <c r="L79" s="6">
        <v>0</v>
      </c>
      <c r="M79" s="7">
        <v>169311.44</v>
      </c>
      <c r="N79" t="str">
        <f>IF((Table1[[#This Row],[AccidentYear]]-1998+1) + Table1[[#This Row],[DevelopmentLag]] - 1 &lt;=10, "Known", "Future")</f>
        <v>Known</v>
      </c>
    </row>
    <row r="80" spans="1:14" x14ac:dyDescent="0.25">
      <c r="A80" s="6">
        <v>6947</v>
      </c>
      <c r="B80" s="6" t="s">
        <v>6</v>
      </c>
      <c r="C80" s="6">
        <v>2000</v>
      </c>
      <c r="D80" s="6">
        <v>2008</v>
      </c>
      <c r="E80" s="6">
        <v>9</v>
      </c>
      <c r="F80" s="7">
        <v>141967</v>
      </c>
      <c r="G80" s="7">
        <v>141382</v>
      </c>
      <c r="H80" s="7">
        <v>494</v>
      </c>
      <c r="I80" s="7">
        <v>183981</v>
      </c>
      <c r="J80" s="7">
        <v>7827</v>
      </c>
      <c r="K80" s="7">
        <v>176154</v>
      </c>
      <c r="L80" s="6">
        <v>0</v>
      </c>
      <c r="M80" s="7">
        <v>169311.44</v>
      </c>
      <c r="N80" t="str">
        <f>IF((Table1[[#This Row],[AccidentYear]]-1998+1) + Table1[[#This Row],[DevelopmentLag]] - 1 &lt;=10, "Known", "Future")</f>
        <v>Future</v>
      </c>
    </row>
    <row r="81" spans="1:14" x14ac:dyDescent="0.25">
      <c r="A81" s="6">
        <v>6947</v>
      </c>
      <c r="B81" s="6" t="s">
        <v>6</v>
      </c>
      <c r="C81" s="6">
        <v>2000</v>
      </c>
      <c r="D81" s="6">
        <v>2009</v>
      </c>
      <c r="E81" s="6">
        <v>10</v>
      </c>
      <c r="F81" s="7">
        <v>141849</v>
      </c>
      <c r="G81" s="7">
        <v>141388</v>
      </c>
      <c r="H81" s="7">
        <v>396</v>
      </c>
      <c r="I81" s="7">
        <v>183981</v>
      </c>
      <c r="J81" s="7">
        <v>7827</v>
      </c>
      <c r="K81" s="7">
        <v>176154</v>
      </c>
      <c r="L81" s="6">
        <v>0</v>
      </c>
      <c r="M81" s="7">
        <v>169311.44</v>
      </c>
      <c r="N81" t="str">
        <f>IF((Table1[[#This Row],[AccidentYear]]-1998+1) + Table1[[#This Row],[DevelopmentLag]] - 1 &lt;=10, "Known", "Future")</f>
        <v>Future</v>
      </c>
    </row>
    <row r="82" spans="1:14" x14ac:dyDescent="0.25">
      <c r="A82" s="6">
        <v>6947</v>
      </c>
      <c r="B82" s="6" t="s">
        <v>6</v>
      </c>
      <c r="C82" s="6">
        <v>1999</v>
      </c>
      <c r="D82" s="6">
        <v>1999</v>
      </c>
      <c r="E82" s="6">
        <v>1</v>
      </c>
      <c r="F82" s="7">
        <v>141968</v>
      </c>
      <c r="G82" s="7">
        <v>74601</v>
      </c>
      <c r="H82" s="7">
        <v>40751</v>
      </c>
      <c r="I82" s="7">
        <v>180249</v>
      </c>
      <c r="J82" s="7">
        <v>6972</v>
      </c>
      <c r="K82" s="7">
        <v>173277</v>
      </c>
      <c r="L82" s="6">
        <v>0</v>
      </c>
      <c r="M82" s="7">
        <v>169311.44</v>
      </c>
      <c r="N82" t="str">
        <f>IF((Table1[[#This Row],[AccidentYear]]-1998+1) + Table1[[#This Row],[DevelopmentLag]] - 1 &lt;=10, "Known", "Future")</f>
        <v>Known</v>
      </c>
    </row>
    <row r="83" spans="1:14" x14ac:dyDescent="0.25">
      <c r="A83" s="6">
        <v>6947</v>
      </c>
      <c r="B83" s="6" t="s">
        <v>6</v>
      </c>
      <c r="C83" s="6">
        <v>1999</v>
      </c>
      <c r="D83" s="6">
        <v>2000</v>
      </c>
      <c r="E83" s="6">
        <v>2</v>
      </c>
      <c r="F83" s="7">
        <v>142094</v>
      </c>
      <c r="G83" s="7">
        <v>114612</v>
      </c>
      <c r="H83" s="7">
        <v>10714</v>
      </c>
      <c r="I83" s="7">
        <v>180249</v>
      </c>
      <c r="J83" s="7">
        <v>6972</v>
      </c>
      <c r="K83" s="7">
        <v>173277</v>
      </c>
      <c r="L83" s="6">
        <v>0</v>
      </c>
      <c r="M83" s="7">
        <v>169311.44</v>
      </c>
      <c r="N83" t="str">
        <f>IF((Table1[[#This Row],[AccidentYear]]-1998+1) + Table1[[#This Row],[DevelopmentLag]] - 1 &lt;=10, "Known", "Future")</f>
        <v>Known</v>
      </c>
    </row>
    <row r="84" spans="1:14" x14ac:dyDescent="0.25">
      <c r="A84" s="6">
        <v>6947</v>
      </c>
      <c r="B84" s="6" t="s">
        <v>6</v>
      </c>
      <c r="C84" s="6">
        <v>1999</v>
      </c>
      <c r="D84" s="6">
        <v>2001</v>
      </c>
      <c r="E84" s="6">
        <v>3</v>
      </c>
      <c r="F84" s="7">
        <v>139523</v>
      </c>
      <c r="G84" s="7">
        <v>126195</v>
      </c>
      <c r="H84" s="7">
        <v>3723</v>
      </c>
      <c r="I84" s="7">
        <v>180249</v>
      </c>
      <c r="J84" s="7">
        <v>6972</v>
      </c>
      <c r="K84" s="7">
        <v>173277</v>
      </c>
      <c r="L84" s="6">
        <v>0</v>
      </c>
      <c r="M84" s="7">
        <v>169311.44</v>
      </c>
      <c r="N84" t="str">
        <f>IF((Table1[[#This Row],[AccidentYear]]-1998+1) + Table1[[#This Row],[DevelopmentLag]] - 1 &lt;=10, "Known", "Future")</f>
        <v>Known</v>
      </c>
    </row>
    <row r="85" spans="1:14" x14ac:dyDescent="0.25">
      <c r="A85" s="6">
        <v>6947</v>
      </c>
      <c r="B85" s="6" t="s">
        <v>6</v>
      </c>
      <c r="C85" s="6">
        <v>1999</v>
      </c>
      <c r="D85" s="6">
        <v>2002</v>
      </c>
      <c r="E85" s="6">
        <v>4</v>
      </c>
      <c r="F85" s="7">
        <v>138096</v>
      </c>
      <c r="G85" s="7">
        <v>132596</v>
      </c>
      <c r="H85" s="7">
        <v>1183</v>
      </c>
      <c r="I85" s="7">
        <v>180249</v>
      </c>
      <c r="J85" s="7">
        <v>6972</v>
      </c>
      <c r="K85" s="7">
        <v>173277</v>
      </c>
      <c r="L85" s="6">
        <v>0</v>
      </c>
      <c r="M85" s="7">
        <v>169311.44</v>
      </c>
      <c r="N85" t="str">
        <f>IF((Table1[[#This Row],[AccidentYear]]-1998+1) + Table1[[#This Row],[DevelopmentLag]] - 1 &lt;=10, "Known", "Future")</f>
        <v>Known</v>
      </c>
    </row>
    <row r="86" spans="1:14" x14ac:dyDescent="0.25">
      <c r="A86" s="6">
        <v>6947</v>
      </c>
      <c r="B86" s="6" t="s">
        <v>6</v>
      </c>
      <c r="C86" s="6">
        <v>1999</v>
      </c>
      <c r="D86" s="6">
        <v>2003</v>
      </c>
      <c r="E86" s="6">
        <v>5</v>
      </c>
      <c r="F86" s="7">
        <v>138077</v>
      </c>
      <c r="G86" s="7">
        <v>135336</v>
      </c>
      <c r="H86" s="7">
        <v>616</v>
      </c>
      <c r="I86" s="7">
        <v>180249</v>
      </c>
      <c r="J86" s="7">
        <v>6972</v>
      </c>
      <c r="K86" s="7">
        <v>173277</v>
      </c>
      <c r="L86" s="6">
        <v>0</v>
      </c>
      <c r="M86" s="7">
        <v>169311.44</v>
      </c>
      <c r="N86" t="str">
        <f>IF((Table1[[#This Row],[AccidentYear]]-1998+1) + Table1[[#This Row],[DevelopmentLag]] - 1 &lt;=10, "Known", "Future")</f>
        <v>Known</v>
      </c>
    </row>
    <row r="87" spans="1:14" x14ac:dyDescent="0.25">
      <c r="A87" s="6">
        <v>6947</v>
      </c>
      <c r="B87" s="6" t="s">
        <v>6</v>
      </c>
      <c r="C87" s="6">
        <v>1999</v>
      </c>
      <c r="D87" s="6">
        <v>2004</v>
      </c>
      <c r="E87" s="6">
        <v>6</v>
      </c>
      <c r="F87" s="7">
        <v>137777</v>
      </c>
      <c r="G87" s="7">
        <v>136351</v>
      </c>
      <c r="H87" s="7">
        <v>298</v>
      </c>
      <c r="I87" s="7">
        <v>180249</v>
      </c>
      <c r="J87" s="7">
        <v>6972</v>
      </c>
      <c r="K87" s="7">
        <v>173277</v>
      </c>
      <c r="L87" s="6">
        <v>0</v>
      </c>
      <c r="M87" s="7">
        <v>169311.44</v>
      </c>
      <c r="N87" t="str">
        <f>IF((Table1[[#This Row],[AccidentYear]]-1998+1) + Table1[[#This Row],[DevelopmentLag]] - 1 &lt;=10, "Known", "Future")</f>
        <v>Known</v>
      </c>
    </row>
    <row r="88" spans="1:14" x14ac:dyDescent="0.25">
      <c r="A88" s="6">
        <v>6947</v>
      </c>
      <c r="B88" s="6" t="s">
        <v>6</v>
      </c>
      <c r="C88" s="6">
        <v>1999</v>
      </c>
      <c r="D88" s="6">
        <v>2005</v>
      </c>
      <c r="E88" s="6">
        <v>7</v>
      </c>
      <c r="F88" s="7">
        <v>137582</v>
      </c>
      <c r="G88" s="7">
        <v>136714</v>
      </c>
      <c r="H88" s="7">
        <v>169</v>
      </c>
      <c r="I88" s="7">
        <v>180249</v>
      </c>
      <c r="J88" s="7">
        <v>6972</v>
      </c>
      <c r="K88" s="7">
        <v>173277</v>
      </c>
      <c r="L88" s="6">
        <v>0</v>
      </c>
      <c r="M88" s="7">
        <v>169311.44</v>
      </c>
      <c r="N88" t="str">
        <f>IF((Table1[[#This Row],[AccidentYear]]-1998+1) + Table1[[#This Row],[DevelopmentLag]] - 1 &lt;=10, "Known", "Future")</f>
        <v>Known</v>
      </c>
    </row>
    <row r="89" spans="1:14" x14ac:dyDescent="0.25">
      <c r="A89" s="6">
        <v>6947</v>
      </c>
      <c r="B89" s="6" t="s">
        <v>6</v>
      </c>
      <c r="C89" s="6">
        <v>1999</v>
      </c>
      <c r="D89" s="6">
        <v>2006</v>
      </c>
      <c r="E89" s="6">
        <v>8</v>
      </c>
      <c r="F89" s="7">
        <v>137472</v>
      </c>
      <c r="G89" s="7">
        <v>137108</v>
      </c>
      <c r="H89" s="7">
        <v>80</v>
      </c>
      <c r="I89" s="7">
        <v>180249</v>
      </c>
      <c r="J89" s="7">
        <v>6972</v>
      </c>
      <c r="K89" s="7">
        <v>173277</v>
      </c>
      <c r="L89" s="6">
        <v>0</v>
      </c>
      <c r="M89" s="7">
        <v>169311.44</v>
      </c>
      <c r="N89" t="str">
        <f>IF((Table1[[#This Row],[AccidentYear]]-1998+1) + Table1[[#This Row],[DevelopmentLag]] - 1 &lt;=10, "Known", "Future")</f>
        <v>Known</v>
      </c>
    </row>
    <row r="90" spans="1:14" x14ac:dyDescent="0.25">
      <c r="A90" s="6">
        <v>6947</v>
      </c>
      <c r="B90" s="6" t="s">
        <v>6</v>
      </c>
      <c r="C90" s="6">
        <v>1999</v>
      </c>
      <c r="D90" s="6">
        <v>2007</v>
      </c>
      <c r="E90" s="6">
        <v>9</v>
      </c>
      <c r="F90" s="7">
        <v>137729</v>
      </c>
      <c r="G90" s="7">
        <v>137247</v>
      </c>
      <c r="H90" s="7">
        <v>356</v>
      </c>
      <c r="I90" s="7">
        <v>180249</v>
      </c>
      <c r="J90" s="7">
        <v>6972</v>
      </c>
      <c r="K90" s="7">
        <v>173277</v>
      </c>
      <c r="L90" s="6">
        <v>0</v>
      </c>
      <c r="M90" s="7">
        <v>169311.44</v>
      </c>
      <c r="N90" t="str">
        <f>IF((Table1[[#This Row],[AccidentYear]]-1998+1) + Table1[[#This Row],[DevelopmentLag]] - 1 &lt;=10, "Known", "Future")</f>
        <v>Known</v>
      </c>
    </row>
    <row r="91" spans="1:14" x14ac:dyDescent="0.25">
      <c r="A91" s="6">
        <v>6947</v>
      </c>
      <c r="B91" s="6" t="s">
        <v>6</v>
      </c>
      <c r="C91" s="6">
        <v>1999</v>
      </c>
      <c r="D91" s="6">
        <v>2008</v>
      </c>
      <c r="E91" s="6">
        <v>10</v>
      </c>
      <c r="F91" s="7">
        <v>137850</v>
      </c>
      <c r="G91" s="7">
        <v>137335</v>
      </c>
      <c r="H91" s="7">
        <v>443</v>
      </c>
      <c r="I91" s="7">
        <v>180249</v>
      </c>
      <c r="J91" s="7">
        <v>6972</v>
      </c>
      <c r="K91" s="7">
        <v>173277</v>
      </c>
      <c r="L91" s="6">
        <v>0</v>
      </c>
      <c r="M91" s="7">
        <v>169311.44</v>
      </c>
      <c r="N91" t="str">
        <f>IF((Table1[[#This Row],[AccidentYear]]-1998+1) + Table1[[#This Row],[DevelopmentLag]] - 1 &lt;=10, "Known", "Future")</f>
        <v>Future</v>
      </c>
    </row>
    <row r="92" spans="1:14" x14ac:dyDescent="0.25">
      <c r="A92" s="6">
        <v>6947</v>
      </c>
      <c r="B92" s="6" t="s">
        <v>6</v>
      </c>
      <c r="C92" s="6">
        <v>1998</v>
      </c>
      <c r="D92" s="6">
        <v>1998</v>
      </c>
      <c r="E92" s="6">
        <v>1</v>
      </c>
      <c r="F92" s="7">
        <v>128588</v>
      </c>
      <c r="G92" s="7">
        <v>65419</v>
      </c>
      <c r="H92" s="7">
        <v>37063</v>
      </c>
      <c r="I92" s="7">
        <v>177563</v>
      </c>
      <c r="J92" s="7">
        <v>5236</v>
      </c>
      <c r="K92" s="7">
        <v>172327</v>
      </c>
      <c r="L92" s="6">
        <v>0</v>
      </c>
      <c r="M92" s="7">
        <v>169311.44</v>
      </c>
      <c r="N92" t="str">
        <f>IF((Table1[[#This Row],[AccidentYear]]-1998+1) + Table1[[#This Row],[DevelopmentLag]] - 1 &lt;=10, "Known", "Future")</f>
        <v>Known</v>
      </c>
    </row>
    <row r="93" spans="1:14" x14ac:dyDescent="0.25">
      <c r="A93" s="6">
        <v>6947</v>
      </c>
      <c r="B93" s="6" t="s">
        <v>6</v>
      </c>
      <c r="C93" s="6">
        <v>1998</v>
      </c>
      <c r="D93" s="6">
        <v>1999</v>
      </c>
      <c r="E93" s="6">
        <v>2</v>
      </c>
      <c r="F93" s="7">
        <v>127540</v>
      </c>
      <c r="G93" s="7">
        <v>102612</v>
      </c>
      <c r="H93" s="7">
        <v>9920</v>
      </c>
      <c r="I93" s="7">
        <v>177563</v>
      </c>
      <c r="J93" s="7">
        <v>5236</v>
      </c>
      <c r="K93" s="7">
        <v>172327</v>
      </c>
      <c r="L93" s="6">
        <v>0</v>
      </c>
      <c r="M93" s="7">
        <v>169311.44</v>
      </c>
      <c r="N93" t="str">
        <f>IF((Table1[[#This Row],[AccidentYear]]-1998+1) + Table1[[#This Row],[DevelopmentLag]] - 1 &lt;=10, "Known", "Future")</f>
        <v>Known</v>
      </c>
    </row>
    <row r="94" spans="1:14" x14ac:dyDescent="0.25">
      <c r="A94" s="6">
        <v>6947</v>
      </c>
      <c r="B94" s="6" t="s">
        <v>6</v>
      </c>
      <c r="C94" s="6">
        <v>1998</v>
      </c>
      <c r="D94" s="6">
        <v>2000</v>
      </c>
      <c r="E94" s="6">
        <v>3</v>
      </c>
      <c r="F94" s="7">
        <v>128578</v>
      </c>
      <c r="G94" s="7">
        <v>114906</v>
      </c>
      <c r="H94" s="7">
        <v>3424</v>
      </c>
      <c r="I94" s="7">
        <v>177563</v>
      </c>
      <c r="J94" s="7">
        <v>5236</v>
      </c>
      <c r="K94" s="7">
        <v>172327</v>
      </c>
      <c r="L94" s="6">
        <v>0</v>
      </c>
      <c r="M94" s="7">
        <v>169311.44</v>
      </c>
      <c r="N94" t="str">
        <f>IF((Table1[[#This Row],[AccidentYear]]-1998+1) + Table1[[#This Row],[DevelopmentLag]] - 1 &lt;=10, "Known", "Future")</f>
        <v>Known</v>
      </c>
    </row>
    <row r="95" spans="1:14" x14ac:dyDescent="0.25">
      <c r="A95" s="6">
        <v>6947</v>
      </c>
      <c r="B95" s="6" t="s">
        <v>6</v>
      </c>
      <c r="C95" s="6">
        <v>1998</v>
      </c>
      <c r="D95" s="6">
        <v>2001</v>
      </c>
      <c r="E95" s="6">
        <v>4</v>
      </c>
      <c r="F95" s="7">
        <v>126766</v>
      </c>
      <c r="G95" s="7">
        <v>121101</v>
      </c>
      <c r="H95" s="7">
        <v>1085</v>
      </c>
      <c r="I95" s="7">
        <v>177563</v>
      </c>
      <c r="J95" s="7">
        <v>5236</v>
      </c>
      <c r="K95" s="7">
        <v>172327</v>
      </c>
      <c r="L95" s="6">
        <v>0</v>
      </c>
      <c r="M95" s="7">
        <v>169311.44</v>
      </c>
      <c r="N95" t="str">
        <f>IF((Table1[[#This Row],[AccidentYear]]-1998+1) + Table1[[#This Row],[DevelopmentLag]] - 1 &lt;=10, "Known", "Future")</f>
        <v>Known</v>
      </c>
    </row>
    <row r="96" spans="1:14" x14ac:dyDescent="0.25">
      <c r="A96" s="6">
        <v>6947</v>
      </c>
      <c r="B96" s="6" t="s">
        <v>6</v>
      </c>
      <c r="C96" s="6">
        <v>1998</v>
      </c>
      <c r="D96" s="6">
        <v>2002</v>
      </c>
      <c r="E96" s="6">
        <v>5</v>
      </c>
      <c r="F96" s="7">
        <v>126370</v>
      </c>
      <c r="G96" s="7">
        <v>123407</v>
      </c>
      <c r="H96" s="7">
        <v>537</v>
      </c>
      <c r="I96" s="7">
        <v>177563</v>
      </c>
      <c r="J96" s="7">
        <v>5236</v>
      </c>
      <c r="K96" s="7">
        <v>172327</v>
      </c>
      <c r="L96" s="6">
        <v>0</v>
      </c>
      <c r="M96" s="7">
        <v>169311.44</v>
      </c>
      <c r="N96" t="str">
        <f>IF((Table1[[#This Row],[AccidentYear]]-1998+1) + Table1[[#This Row],[DevelopmentLag]] - 1 &lt;=10, "Known", "Future")</f>
        <v>Known</v>
      </c>
    </row>
    <row r="97" spans="1:14" x14ac:dyDescent="0.25">
      <c r="A97" s="6">
        <v>6947</v>
      </c>
      <c r="B97" s="6" t="s">
        <v>6</v>
      </c>
      <c r="C97" s="6">
        <v>1998</v>
      </c>
      <c r="D97" s="6">
        <v>2003</v>
      </c>
      <c r="E97" s="6">
        <v>6</v>
      </c>
      <c r="F97" s="7">
        <v>126372</v>
      </c>
      <c r="G97" s="7">
        <v>124722</v>
      </c>
      <c r="H97" s="7">
        <v>284</v>
      </c>
      <c r="I97" s="7">
        <v>177563</v>
      </c>
      <c r="J97" s="7">
        <v>5236</v>
      </c>
      <c r="K97" s="7">
        <v>172327</v>
      </c>
      <c r="L97" s="6">
        <v>0</v>
      </c>
      <c r="M97" s="7">
        <v>169311.44</v>
      </c>
      <c r="N97" t="str">
        <f>IF((Table1[[#This Row],[AccidentYear]]-1998+1) + Table1[[#This Row],[DevelopmentLag]] - 1 &lt;=10, "Known", "Future")</f>
        <v>Known</v>
      </c>
    </row>
    <row r="98" spans="1:14" x14ac:dyDescent="0.25">
      <c r="A98" s="6">
        <v>6947</v>
      </c>
      <c r="B98" s="6" t="s">
        <v>6</v>
      </c>
      <c r="C98" s="6">
        <v>1998</v>
      </c>
      <c r="D98" s="6">
        <v>2004</v>
      </c>
      <c r="E98" s="6">
        <v>7</v>
      </c>
      <c r="F98" s="7">
        <v>126310</v>
      </c>
      <c r="G98" s="7">
        <v>125342</v>
      </c>
      <c r="H98" s="7">
        <v>148</v>
      </c>
      <c r="I98" s="7">
        <v>177563</v>
      </c>
      <c r="J98" s="7">
        <v>5236</v>
      </c>
      <c r="K98" s="7">
        <v>172327</v>
      </c>
      <c r="L98" s="6">
        <v>0</v>
      </c>
      <c r="M98" s="7">
        <v>169311.44</v>
      </c>
      <c r="N98" t="str">
        <f>IF((Table1[[#This Row],[AccidentYear]]-1998+1) + Table1[[#This Row],[DevelopmentLag]] - 1 &lt;=10, "Known", "Future")</f>
        <v>Known</v>
      </c>
    </row>
    <row r="99" spans="1:14" x14ac:dyDescent="0.25">
      <c r="A99" s="6">
        <v>6947</v>
      </c>
      <c r="B99" s="6" t="s">
        <v>6</v>
      </c>
      <c r="C99" s="6">
        <v>1998</v>
      </c>
      <c r="D99" s="6">
        <v>2005</v>
      </c>
      <c r="E99" s="6">
        <v>8</v>
      </c>
      <c r="F99" s="7">
        <v>126276</v>
      </c>
      <c r="G99" s="7">
        <v>125794</v>
      </c>
      <c r="H99" s="7">
        <v>77</v>
      </c>
      <c r="I99" s="7">
        <v>177563</v>
      </c>
      <c r="J99" s="7">
        <v>5236</v>
      </c>
      <c r="K99" s="7">
        <v>172327</v>
      </c>
      <c r="L99" s="6">
        <v>0</v>
      </c>
      <c r="M99" s="7">
        <v>169311.44</v>
      </c>
      <c r="N99" t="str">
        <f>IF((Table1[[#This Row],[AccidentYear]]-1998+1) + Table1[[#This Row],[DevelopmentLag]] - 1 &lt;=10, "Known", "Future")</f>
        <v>Known</v>
      </c>
    </row>
    <row r="100" spans="1:14" x14ac:dyDescent="0.25">
      <c r="A100" s="6">
        <v>6947</v>
      </c>
      <c r="B100" s="6" t="s">
        <v>6</v>
      </c>
      <c r="C100" s="6">
        <v>1998</v>
      </c>
      <c r="D100" s="6">
        <v>2006</v>
      </c>
      <c r="E100" s="6">
        <v>9</v>
      </c>
      <c r="F100" s="7">
        <v>126295</v>
      </c>
      <c r="G100" s="7">
        <v>125933</v>
      </c>
      <c r="H100" s="7">
        <v>29</v>
      </c>
      <c r="I100" s="7">
        <v>177563</v>
      </c>
      <c r="J100" s="7">
        <v>5236</v>
      </c>
      <c r="K100" s="7">
        <v>172327</v>
      </c>
      <c r="L100" s="6">
        <v>0</v>
      </c>
      <c r="M100" s="7">
        <v>169311.44</v>
      </c>
      <c r="N100" t="str">
        <f>IF((Table1[[#This Row],[AccidentYear]]-1998+1) + Table1[[#This Row],[DevelopmentLag]] - 1 &lt;=10, "Known", "Future")</f>
        <v>Known</v>
      </c>
    </row>
    <row r="101" spans="1:14" x14ac:dyDescent="0.25">
      <c r="A101" s="6">
        <v>6947</v>
      </c>
      <c r="B101" s="6" t="s">
        <v>6</v>
      </c>
      <c r="C101" s="6">
        <v>1998</v>
      </c>
      <c r="D101" s="6">
        <v>2007</v>
      </c>
      <c r="E101" s="6">
        <v>10</v>
      </c>
      <c r="F101" s="7">
        <v>126559</v>
      </c>
      <c r="G101" s="7">
        <v>126038</v>
      </c>
      <c r="H101" s="7">
        <v>313</v>
      </c>
      <c r="I101" s="7">
        <v>177563</v>
      </c>
      <c r="J101" s="7">
        <v>5236</v>
      </c>
      <c r="K101" s="7">
        <v>172327</v>
      </c>
      <c r="L101" s="6">
        <v>0</v>
      </c>
      <c r="M101" s="7">
        <v>169311.44</v>
      </c>
      <c r="N101" t="str">
        <f>IF((Table1[[#This Row],[AccidentYear]]-1998+1) + Table1[[#This Row],[DevelopmentLag]] - 1 &lt;=10, "Known", "Future")</f>
        <v>Known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2AFA-2066-469D-9626-68FEE23E99B1}">
  <dimension ref="A1:K14"/>
  <sheetViews>
    <sheetView workbookViewId="0"/>
  </sheetViews>
  <sheetFormatPr defaultRowHeight="15" x14ac:dyDescent="0.25"/>
  <cols>
    <col min="1" max="1" width="23.28515625" bestFit="1" customWidth="1"/>
    <col min="2" max="2" width="19.28515625" bestFit="1" customWidth="1"/>
    <col min="3" max="11" width="12.5703125" bestFit="1" customWidth="1"/>
    <col min="12" max="12" width="7" bestFit="1" customWidth="1"/>
  </cols>
  <sheetData>
    <row r="1" spans="1:11" x14ac:dyDescent="0.25">
      <c r="A1" s="4" t="s">
        <v>8</v>
      </c>
      <c r="B1" t="s" vm="1">
        <v>9</v>
      </c>
    </row>
    <row r="3" spans="1:11" x14ac:dyDescent="0.25">
      <c r="A3" s="4" t="s">
        <v>50</v>
      </c>
      <c r="B3" s="4" t="s">
        <v>33</v>
      </c>
    </row>
    <row r="4" spans="1:11" ht="15.75" thickBot="1" x14ac:dyDescent="0.3">
      <c r="A4" s="4" t="s">
        <v>7</v>
      </c>
      <c r="B4" s="10">
        <v>1</v>
      </c>
      <c r="C4" s="10">
        <v>2</v>
      </c>
      <c r="D4" s="10">
        <v>3</v>
      </c>
      <c r="E4" s="10">
        <v>4</v>
      </c>
      <c r="F4" s="10">
        <v>5</v>
      </c>
      <c r="G4" s="10">
        <v>6</v>
      </c>
      <c r="H4" s="10">
        <v>7</v>
      </c>
      <c r="I4" s="10">
        <v>8</v>
      </c>
      <c r="J4" s="10">
        <v>9</v>
      </c>
      <c r="K4" s="10">
        <v>10</v>
      </c>
    </row>
    <row r="5" spans="1:11" ht="15.75" thickBot="1" x14ac:dyDescent="0.3">
      <c r="A5" s="11">
        <v>1998</v>
      </c>
      <c r="B5" s="69">
        <v>65419</v>
      </c>
      <c r="C5" s="70">
        <v>102612</v>
      </c>
      <c r="D5" s="70">
        <v>114906</v>
      </c>
      <c r="E5" s="70">
        <v>121101</v>
      </c>
      <c r="F5" s="70">
        <v>123407</v>
      </c>
      <c r="G5" s="70">
        <v>124722</v>
      </c>
      <c r="H5" s="70">
        <v>125342</v>
      </c>
      <c r="I5" s="70">
        <v>125794</v>
      </c>
      <c r="J5" s="70">
        <v>125933</v>
      </c>
      <c r="K5" s="71">
        <v>126038</v>
      </c>
    </row>
    <row r="6" spans="1:11" ht="15.75" thickBot="1" x14ac:dyDescent="0.3">
      <c r="A6" s="11">
        <v>1999</v>
      </c>
      <c r="B6" s="69">
        <v>74601</v>
      </c>
      <c r="C6" s="70">
        <v>114612</v>
      </c>
      <c r="D6" s="70">
        <v>126195</v>
      </c>
      <c r="E6" s="70">
        <v>132596</v>
      </c>
      <c r="F6" s="70">
        <v>135336</v>
      </c>
      <c r="G6" s="70">
        <v>136351</v>
      </c>
      <c r="H6" s="70">
        <v>136714</v>
      </c>
      <c r="I6" s="70">
        <v>137108</v>
      </c>
      <c r="J6" s="71">
        <v>137247</v>
      </c>
      <c r="K6" s="8"/>
    </row>
    <row r="7" spans="1:11" ht="15.75" thickBot="1" x14ac:dyDescent="0.3">
      <c r="A7" s="11">
        <v>2000</v>
      </c>
      <c r="B7" s="69">
        <v>76960</v>
      </c>
      <c r="C7" s="70">
        <v>119712</v>
      </c>
      <c r="D7" s="70">
        <v>130613</v>
      </c>
      <c r="E7" s="70">
        <v>137202</v>
      </c>
      <c r="F7" s="70">
        <v>139337</v>
      </c>
      <c r="G7" s="70">
        <v>140522</v>
      </c>
      <c r="H7" s="70">
        <v>141045</v>
      </c>
      <c r="I7" s="71">
        <v>141264</v>
      </c>
      <c r="J7" s="8"/>
      <c r="K7" s="8"/>
    </row>
    <row r="8" spans="1:11" ht="15.75" thickBot="1" x14ac:dyDescent="0.3">
      <c r="A8" s="11">
        <v>2001</v>
      </c>
      <c r="B8" s="69">
        <v>79831</v>
      </c>
      <c r="C8" s="70">
        <v>120247</v>
      </c>
      <c r="D8" s="70">
        <v>131574</v>
      </c>
      <c r="E8" s="70">
        <v>137030</v>
      </c>
      <c r="F8" s="70">
        <v>139402</v>
      </c>
      <c r="G8" s="70">
        <v>141446</v>
      </c>
      <c r="H8" s="71">
        <v>141816</v>
      </c>
      <c r="I8" s="8"/>
      <c r="J8" s="8"/>
      <c r="K8" s="8"/>
    </row>
    <row r="9" spans="1:11" ht="15.75" thickBot="1" x14ac:dyDescent="0.3">
      <c r="A9" s="11">
        <v>2002</v>
      </c>
      <c r="B9" s="69">
        <v>82295</v>
      </c>
      <c r="C9" s="70">
        <v>126112</v>
      </c>
      <c r="D9" s="70">
        <v>139094</v>
      </c>
      <c r="E9" s="70">
        <v>146112</v>
      </c>
      <c r="F9" s="70">
        <v>149292</v>
      </c>
      <c r="G9" s="71">
        <v>150819</v>
      </c>
      <c r="H9" s="8"/>
      <c r="I9" s="8"/>
      <c r="J9" s="8"/>
      <c r="K9" s="8"/>
    </row>
    <row r="10" spans="1:11" ht="15.75" thickBot="1" x14ac:dyDescent="0.3">
      <c r="A10" s="11">
        <v>2003</v>
      </c>
      <c r="B10" s="69">
        <v>81672</v>
      </c>
      <c r="C10" s="70">
        <v>129999</v>
      </c>
      <c r="D10" s="70">
        <v>143206</v>
      </c>
      <c r="E10" s="70">
        <v>151112</v>
      </c>
      <c r="F10" s="71">
        <v>154348</v>
      </c>
      <c r="G10" s="8"/>
      <c r="H10" s="8"/>
      <c r="I10" s="8"/>
      <c r="J10" s="8"/>
      <c r="K10" s="8"/>
    </row>
    <row r="11" spans="1:11" ht="15.75" thickBot="1" x14ac:dyDescent="0.3">
      <c r="A11" s="11">
        <v>2004</v>
      </c>
      <c r="B11" s="69">
        <v>97575</v>
      </c>
      <c r="C11" s="70">
        <v>146722</v>
      </c>
      <c r="D11" s="70">
        <v>161677</v>
      </c>
      <c r="E11" s="71">
        <v>170055</v>
      </c>
      <c r="F11" s="8"/>
      <c r="G11" s="8"/>
      <c r="H11" s="8"/>
      <c r="I11" s="8"/>
      <c r="J11" s="8"/>
      <c r="K11" s="8"/>
    </row>
    <row r="12" spans="1:11" ht="15.75" thickBot="1" x14ac:dyDescent="0.3">
      <c r="A12" s="11">
        <v>2005</v>
      </c>
      <c r="B12" s="69">
        <v>98552</v>
      </c>
      <c r="C12" s="70">
        <v>152039</v>
      </c>
      <c r="D12" s="71">
        <v>165521</v>
      </c>
      <c r="E12" s="8"/>
      <c r="F12" s="8"/>
      <c r="G12" s="8"/>
      <c r="H12" s="8"/>
      <c r="I12" s="8"/>
      <c r="J12" s="8"/>
      <c r="K12" s="8"/>
    </row>
    <row r="13" spans="1:11" ht="15.75" thickBot="1" x14ac:dyDescent="0.3">
      <c r="A13" s="11">
        <v>2006</v>
      </c>
      <c r="B13" s="69">
        <v>86424</v>
      </c>
      <c r="C13" s="71">
        <v>140342</v>
      </c>
      <c r="D13" s="8"/>
      <c r="E13" s="8"/>
      <c r="F13" s="8"/>
      <c r="G13" s="8"/>
      <c r="H13" s="8"/>
      <c r="I13" s="8"/>
      <c r="J13" s="8"/>
      <c r="K13" s="8"/>
    </row>
    <row r="14" spans="1:11" ht="15.75" thickBot="1" x14ac:dyDescent="0.3">
      <c r="A14" s="9">
        <v>2007</v>
      </c>
      <c r="B14" s="71">
        <v>106588</v>
      </c>
      <c r="C14" s="8"/>
      <c r="D14" s="8"/>
      <c r="E14" s="8"/>
      <c r="F14" s="8"/>
      <c r="G14" s="8"/>
      <c r="H14" s="8"/>
      <c r="I14" s="8"/>
      <c r="J14" s="8"/>
      <c r="K1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2ADA2-AC3A-44DA-8EF7-612061ADFD4F}">
  <dimension ref="A3:Y20"/>
  <sheetViews>
    <sheetView workbookViewId="0"/>
  </sheetViews>
  <sheetFormatPr defaultRowHeight="15" x14ac:dyDescent="0.25"/>
  <cols>
    <col min="1" max="1" width="24.28515625" bestFit="1" customWidth="1"/>
    <col min="2" max="11" width="6.5703125" bestFit="1" customWidth="1"/>
  </cols>
  <sheetData>
    <row r="3" spans="1:25" ht="15.75" thickBot="1" x14ac:dyDescent="0.3">
      <c r="A3" s="10" t="s">
        <v>10</v>
      </c>
    </row>
    <row r="4" spans="1:25" ht="15.75" thickBot="1" x14ac:dyDescent="0.3">
      <c r="A4" s="26" t="s">
        <v>7</v>
      </c>
      <c r="B4" s="2" t="s">
        <v>11</v>
      </c>
      <c r="C4" s="2" t="s">
        <v>12</v>
      </c>
      <c r="D4" s="27" t="s">
        <v>13</v>
      </c>
      <c r="E4" s="27" t="s">
        <v>14</v>
      </c>
      <c r="F4" s="27" t="s">
        <v>15</v>
      </c>
      <c r="G4" s="27" t="s">
        <v>16</v>
      </c>
      <c r="H4" s="27" t="s">
        <v>17</v>
      </c>
      <c r="I4" s="27" t="s">
        <v>18</v>
      </c>
      <c r="J4" s="27" t="s">
        <v>19</v>
      </c>
    </row>
    <row r="5" spans="1:25" ht="15.75" thickBot="1" x14ac:dyDescent="0.3">
      <c r="A5" s="2">
        <v>1998</v>
      </c>
      <c r="B5" s="20">
        <f>IFERROR(IF(Triangle!C5="","",Triangle!C5/Triangle!B5),"")</f>
        <v>1.5685351350525076</v>
      </c>
      <c r="C5" s="18">
        <f>IFERROR(IF(Triangle!D5="","",Triangle!D5/Triangle!C5),"")</f>
        <v>1.1198105484738627</v>
      </c>
      <c r="D5" s="18">
        <f>IFERROR(IF(Triangle!E5="","",Triangle!E5/Triangle!D5),"")</f>
        <v>1.0539136337528066</v>
      </c>
      <c r="E5" s="18">
        <f>IFERROR(IF(Triangle!F5="","",Triangle!F5/Triangle!E5),"")</f>
        <v>1.0190419567138174</v>
      </c>
      <c r="F5" s="18">
        <f>IFERROR(IF(Triangle!G5="","",Triangle!G5/Triangle!F5),"")</f>
        <v>1.010655797483125</v>
      </c>
      <c r="G5" s="18">
        <f>IFERROR(IF(Triangle!H5="","",Triangle!H5/Triangle!G5),"")</f>
        <v>1.004971055627716</v>
      </c>
      <c r="H5" s="18">
        <f>IFERROR(IF(Triangle!I5="","",Triangle!I5/Triangle!H5),"")</f>
        <v>1.0036061336184201</v>
      </c>
      <c r="I5" s="18">
        <f>IFERROR(IF(Triangle!J5="","",Triangle!J5/Triangle!I5),"")</f>
        <v>1.0011049811596737</v>
      </c>
      <c r="J5" s="19">
        <f>IFERROR(IF(Triangle!K5="","",Triangle!K5/Triangle!J5),"")</f>
        <v>1.00083377669078</v>
      </c>
    </row>
    <row r="6" spans="1:25" ht="15.75" thickBot="1" x14ac:dyDescent="0.3">
      <c r="A6" s="2">
        <v>1999</v>
      </c>
      <c r="B6" s="21">
        <f>IFERROR(IF(Triangle!C6="","",Triangle!C6/Triangle!B6),"")</f>
        <v>1.5363332931193951</v>
      </c>
      <c r="C6" s="15">
        <f>IFERROR(IF(Triangle!D6="","",Triangle!D6/Triangle!C6),"")</f>
        <v>1.1010627159459743</v>
      </c>
      <c r="D6" s="15">
        <f>IFERROR(IF(Triangle!E6="","",Triangle!E6/Triangle!D6),"")</f>
        <v>1.0507230872855502</v>
      </c>
      <c r="E6" s="15">
        <f>IFERROR(IF(Triangle!F6="","",Triangle!F6/Triangle!E6),"")</f>
        <v>1.0206642734320794</v>
      </c>
      <c r="F6" s="15">
        <f>IFERROR(IF(Triangle!G6="","",Triangle!G6/Triangle!F6),"")</f>
        <v>1.0074998522196608</v>
      </c>
      <c r="G6" s="15">
        <f>IFERROR(IF(Triangle!H6="","",Triangle!H6/Triangle!G6),"")</f>
        <v>1.0026622467015276</v>
      </c>
      <c r="H6" s="15">
        <f>IFERROR(IF(Triangle!I6="","",Triangle!I6/Triangle!H6),"")</f>
        <v>1.0028819286978656</v>
      </c>
      <c r="I6" s="17">
        <f>IFERROR(IF(Triangle!J6="","",Triangle!J6/Triangle!I6),"")</f>
        <v>1.0010137993406658</v>
      </c>
      <c r="J6" s="12" t="str">
        <f>IFERROR(IF(Triangle!K6="","",Triangle!K6/Triangle!J6),"")</f>
        <v/>
      </c>
    </row>
    <row r="7" spans="1:25" ht="15.75" thickBot="1" x14ac:dyDescent="0.3">
      <c r="A7" s="2">
        <v>2000</v>
      </c>
      <c r="B7" s="21">
        <f>IFERROR(IF(Triangle!C7="","",Triangle!C7/Triangle!B7),"")</f>
        <v>1.5555093555093555</v>
      </c>
      <c r="C7" s="15">
        <f>IFERROR(IF(Triangle!D7="","",Triangle!D7/Triangle!C7),"")</f>
        <v>1.0910602111734831</v>
      </c>
      <c r="D7" s="15">
        <f>IFERROR(IF(Triangle!E7="","",Triangle!E7/Triangle!D7),"")</f>
        <v>1.0504467396047867</v>
      </c>
      <c r="E7" s="15">
        <f>IFERROR(IF(Triangle!F7="","",Triangle!F7/Triangle!E7),"")</f>
        <v>1.0155609976530955</v>
      </c>
      <c r="F7" s="15">
        <f>IFERROR(IF(Triangle!G7="","",Triangle!G7/Triangle!F7),"")</f>
        <v>1.0085045608847614</v>
      </c>
      <c r="G7" s="15">
        <f>IFERROR(IF(Triangle!H7="","",Triangle!H7/Triangle!G7),"")</f>
        <v>1.0037218371500547</v>
      </c>
      <c r="H7" s="17">
        <f>IFERROR(IF(Triangle!I7="","",Triangle!I7/Triangle!H7),"")</f>
        <v>1.0015526959481016</v>
      </c>
      <c r="I7" s="12" t="str">
        <f>IFERROR(IF(Triangle!J7="","",Triangle!J7/Triangle!I7),"")</f>
        <v/>
      </c>
      <c r="J7" s="12" t="str">
        <f>IFERROR(IF(Triangle!K7="","",Triangle!K7/Triangle!J7),"")</f>
        <v/>
      </c>
    </row>
    <row r="8" spans="1:25" ht="15.75" thickBot="1" x14ac:dyDescent="0.3">
      <c r="A8" s="2">
        <v>2001</v>
      </c>
      <c r="B8" s="21">
        <f>IFERROR(IF(Triangle!C8="","",Triangle!C8/Triangle!B8),"")</f>
        <v>1.506269494306723</v>
      </c>
      <c r="C8" s="15">
        <f>IFERROR(IF(Triangle!D8="","",Triangle!D8/Triangle!C8),"")</f>
        <v>1.0941977762438979</v>
      </c>
      <c r="D8" s="15">
        <f>IFERROR(IF(Triangle!E8="","",Triangle!E8/Triangle!D8),"")</f>
        <v>1.0414671591651845</v>
      </c>
      <c r="E8" s="15">
        <f>IFERROR(IF(Triangle!F8="","",Triangle!F8/Triangle!E8),"")</f>
        <v>1.0173100780850908</v>
      </c>
      <c r="F8" s="15">
        <f>IFERROR(IF(Triangle!G8="","",Triangle!G8/Triangle!F8),"")</f>
        <v>1.0146626303783304</v>
      </c>
      <c r="G8" s="17">
        <f>IFERROR(IF(Triangle!H8="","",Triangle!H8/Triangle!G8),"")</f>
        <v>1.0026158392602125</v>
      </c>
      <c r="H8" s="12" t="str">
        <f>IFERROR(IF(Triangle!I8="","",Triangle!I8/Triangle!H8),"")</f>
        <v/>
      </c>
      <c r="I8" s="12" t="str">
        <f>IFERROR(IF(Triangle!J8="","",Triangle!J8/Triangle!I8),"")</f>
        <v/>
      </c>
      <c r="J8" s="12" t="str">
        <f>IFERROR(IF(Triangle!K8="","",Triangle!K8/Triangle!J8),"")</f>
        <v/>
      </c>
    </row>
    <row r="9" spans="1:25" ht="15.75" thickBot="1" x14ac:dyDescent="0.3">
      <c r="A9" s="2">
        <v>2002</v>
      </c>
      <c r="B9" s="21">
        <f>IFERROR(IF(Triangle!C9="","",Triangle!C9/Triangle!B9),"")</f>
        <v>1.5324381797193025</v>
      </c>
      <c r="C9" s="15">
        <f>IFERROR(IF(Triangle!D9="","",Triangle!D9/Triangle!C9),"")</f>
        <v>1.1029402435929967</v>
      </c>
      <c r="D9" s="15">
        <f>IFERROR(IF(Triangle!E9="","",Triangle!E9/Triangle!D9),"")</f>
        <v>1.0504550879261507</v>
      </c>
      <c r="E9" s="15">
        <f>IFERROR(IF(Triangle!F9="","",Triangle!F9/Triangle!E9),"")</f>
        <v>1.0217641261498029</v>
      </c>
      <c r="F9" s="17">
        <f>IFERROR(IF(Triangle!G9="","",Triangle!G9/Triangle!F9),"")</f>
        <v>1.0102282774696567</v>
      </c>
      <c r="G9" s="12" t="str">
        <f>IFERROR(IF(Triangle!H9="","",Triangle!H9/Triangle!G9),"")</f>
        <v/>
      </c>
      <c r="H9" s="12" t="str">
        <f>IFERROR(IF(Triangle!I9="","",Triangle!I9/Triangle!H9),"")</f>
        <v/>
      </c>
      <c r="I9" s="12" t="str">
        <f>IFERROR(IF(Triangle!J9="","",Triangle!J9/Triangle!I9),"")</f>
        <v/>
      </c>
      <c r="J9" s="12" t="str">
        <f>IFERROR(IF(Triangle!K9="","",Triangle!K9/Triangle!J9),"")</f>
        <v/>
      </c>
    </row>
    <row r="10" spans="1:25" ht="15.75" thickBot="1" x14ac:dyDescent="0.3">
      <c r="A10" s="2">
        <v>2003</v>
      </c>
      <c r="B10" s="21">
        <f>IFERROR(IF(Triangle!C10="","",Triangle!C10/Triangle!B10),"")</f>
        <v>1.5917205406993828</v>
      </c>
      <c r="C10" s="15">
        <f>IFERROR(IF(Triangle!D10="","",Triangle!D10/Triangle!C10),"")</f>
        <v>1.1015930891776091</v>
      </c>
      <c r="D10" s="15">
        <f>IFERROR(IF(Triangle!E10="","",Triangle!E10/Triangle!D10),"")</f>
        <v>1.055207184056534</v>
      </c>
      <c r="E10" s="17">
        <f>IFERROR(IF(Triangle!F10="","",Triangle!F10/Triangle!E10),"")</f>
        <v>1.0214145799142358</v>
      </c>
      <c r="F10" s="12" t="str">
        <f>IFERROR(IF(Triangle!G10="","",Triangle!G10/Triangle!F10),"")</f>
        <v/>
      </c>
      <c r="G10" s="12" t="str">
        <f>IFERROR(IF(Triangle!H10="","",Triangle!H10/Triangle!G10),"")</f>
        <v/>
      </c>
      <c r="H10" s="12" t="str">
        <f>IFERROR(IF(Triangle!I10="","",Triangle!I10/Triangle!H10),"")</f>
        <v/>
      </c>
      <c r="I10" s="12" t="str">
        <f>IFERROR(IF(Triangle!J10="","",Triangle!J10/Triangle!I10),"")</f>
        <v/>
      </c>
      <c r="J10" s="12" t="str">
        <f>IFERROR(IF(Triangle!K10="","",Triangle!K10/Triangle!J10),"")</f>
        <v/>
      </c>
    </row>
    <row r="11" spans="1:25" ht="15.75" thickBot="1" x14ac:dyDescent="0.3">
      <c r="A11" s="2">
        <v>2004</v>
      </c>
      <c r="B11" s="21">
        <f>IFERROR(IF(Triangle!C11="","",Triangle!C11/Triangle!B11),"")</f>
        <v>1.5036843453753523</v>
      </c>
      <c r="C11" s="15">
        <f>IFERROR(IF(Triangle!D11="","",Triangle!D11/Triangle!C11),"")</f>
        <v>1.1019274546421123</v>
      </c>
      <c r="D11" s="17">
        <f>IFERROR(IF(Triangle!E11="","",Triangle!E11/Triangle!D11),"")</f>
        <v>1.0518193682465657</v>
      </c>
      <c r="E11" s="12" t="str">
        <f>IFERROR(IF(Triangle!F11="","",Triangle!F11/Triangle!E11),"")</f>
        <v/>
      </c>
      <c r="F11" s="12" t="str">
        <f>IFERROR(IF(Triangle!G11="","",Triangle!G11/Triangle!F11),"")</f>
        <v/>
      </c>
      <c r="G11" s="12" t="str">
        <f>IFERROR(IF(Triangle!H11="","",Triangle!H11/Triangle!G11),"")</f>
        <v/>
      </c>
      <c r="H11" s="12" t="str">
        <f>IFERROR(IF(Triangle!I11="","",Triangle!I11/Triangle!H11),"")</f>
        <v/>
      </c>
      <c r="I11" s="12" t="str">
        <f>IFERROR(IF(Triangle!J11="","",Triangle!J11/Triangle!I11),"")</f>
        <v/>
      </c>
      <c r="J11" s="12" t="str">
        <f>IFERROR(IF(Triangle!K11="","",Triangle!K11/Triangle!J11),"")</f>
        <v/>
      </c>
    </row>
    <row r="12" spans="1:25" ht="15.75" thickBot="1" x14ac:dyDescent="0.3">
      <c r="A12" s="2">
        <v>2005</v>
      </c>
      <c r="B12" s="21">
        <f>IFERROR(IF(Triangle!C12="","",Triangle!C12/Triangle!B12),"")</f>
        <v>1.5427287117460833</v>
      </c>
      <c r="C12" s="17">
        <f>IFERROR(IF(Triangle!D12="","",Triangle!D12/Triangle!C12),"")</f>
        <v>1.0886746163813232</v>
      </c>
      <c r="D12" s="12" t="str">
        <f>IFERROR(IF(Triangle!E12="","",Triangle!E12/Triangle!D12),"")</f>
        <v/>
      </c>
      <c r="E12" s="12" t="str">
        <f>IFERROR(IF(Triangle!F12="","",Triangle!F12/Triangle!E12),"")</f>
        <v/>
      </c>
      <c r="F12" s="12" t="str">
        <f>IFERROR(IF(Triangle!G12="","",Triangle!G12/Triangle!F12),"")</f>
        <v/>
      </c>
      <c r="G12" s="12" t="str">
        <f>IFERROR(IF(Triangle!H12="","",Triangle!H12/Triangle!G12),"")</f>
        <v/>
      </c>
      <c r="H12" s="12" t="str">
        <f>IFERROR(IF(Triangle!I12="","",Triangle!I12/Triangle!H12),"")</f>
        <v/>
      </c>
      <c r="I12" s="12" t="str">
        <f>IFERROR(IF(Triangle!J12="","",Triangle!J12/Triangle!I12),"")</f>
        <v/>
      </c>
      <c r="J12" s="12" t="str">
        <f>IFERROR(IF(Triangle!K12="","",Triangle!K12/Triangle!J12),"")</f>
        <v/>
      </c>
    </row>
    <row r="13" spans="1:25" ht="15.75" thickBot="1" x14ac:dyDescent="0.3">
      <c r="A13" s="2">
        <v>2006</v>
      </c>
      <c r="B13" s="22">
        <f>IFERROR(IF(Triangle!C13="","",Triangle!C13/Triangle!B13),"")</f>
        <v>1.6238776265852077</v>
      </c>
      <c r="C13" s="12" t="str">
        <f>IFERROR(IF(Triangle!D13="","",Triangle!D13/Triangle!C13),"")</f>
        <v/>
      </c>
      <c r="D13" s="12" t="str">
        <f>IFERROR(IF(Triangle!E13="","",Triangle!E13/Triangle!D13),"")</f>
        <v/>
      </c>
      <c r="E13" s="12" t="str">
        <f>IFERROR(IF(Triangle!F13="","",Triangle!F13/Triangle!E13),"")</f>
        <v/>
      </c>
      <c r="F13" s="12" t="str">
        <f>IFERROR(IF(Triangle!G13="","",Triangle!G13/Triangle!F13),"")</f>
        <v/>
      </c>
      <c r="G13" s="12" t="str">
        <f>IFERROR(IF(Triangle!H13="","",Triangle!H13/Triangle!G13),"")</f>
        <v/>
      </c>
      <c r="H13" s="12" t="str">
        <f>IFERROR(IF(Triangle!I13="","",Triangle!I13/Triangle!H13),"")</f>
        <v/>
      </c>
      <c r="I13" s="12" t="str">
        <f>IFERROR(IF(Triangle!J13="","",Triangle!J13/Triangle!I13),"")</f>
        <v/>
      </c>
      <c r="J13" s="12" t="str">
        <f>IFERROR(IF(Triangle!K13="","",Triangle!K13/Triangle!J13),"")</f>
        <v/>
      </c>
    </row>
    <row r="14" spans="1:25" ht="15.75" thickBot="1" x14ac:dyDescent="0.3">
      <c r="A14" s="3" t="s">
        <v>20</v>
      </c>
      <c r="B14" s="23">
        <f>AVERAGE(B5:B13)</f>
        <v>1.5512329646792569</v>
      </c>
      <c r="C14" s="13">
        <f t="shared" ref="C14:J14" si="0">AVERAGE(C5:C13)</f>
        <v>1.1001583319539074</v>
      </c>
      <c r="D14" s="13">
        <f t="shared" si="0"/>
        <v>1.0505760371482256</v>
      </c>
      <c r="E14" s="13">
        <f t="shared" si="0"/>
        <v>1.0192926686580204</v>
      </c>
      <c r="F14" s="13">
        <f t="shared" si="0"/>
        <v>1.0103102236871069</v>
      </c>
      <c r="G14" s="13">
        <f t="shared" si="0"/>
        <v>1.0034927446848778</v>
      </c>
      <c r="H14" s="13">
        <f t="shared" si="0"/>
        <v>1.0026802527547958</v>
      </c>
      <c r="I14" s="13">
        <f t="shared" si="0"/>
        <v>1.0010593902501697</v>
      </c>
      <c r="J14" s="13">
        <f t="shared" si="0"/>
        <v>1.00083377669078</v>
      </c>
    </row>
    <row r="15" spans="1:25" ht="15.75" thickBot="1" x14ac:dyDescent="0.3">
      <c r="A15" s="3" t="s">
        <v>21</v>
      </c>
      <c r="B15" s="24">
        <f>SUMIF(Triangle!C5:C14, "&lt;&gt;", Triangle!C5:C14)/SUMIF(Triangle!C5:C14, "&lt;&gt;", Triangle!B5:B14)</f>
        <v>1.5503189032043685</v>
      </c>
      <c r="C15" s="13">
        <f>SUMIF(Triangle!D5:D14, "&lt;&gt;", Triangle!D5:D14)/SUMIF(Triangle!D5:D14, "&lt;&gt;", Triangle!C5:C14)</f>
        <v>1.099531151963085</v>
      </c>
      <c r="D15" s="13">
        <f>SUMIF(Triangle!E5:E14, "&lt;&gt;", Triangle!E5:E14)/SUMIF(Triangle!E5:E14, "&lt;&gt;", Triangle!D5:D14)</f>
        <v>1.0506120251460784</v>
      </c>
      <c r="E15" s="13">
        <f>SUMIF(Triangle!F5:F14, "&lt;&gt;", Triangle!F5:F14)/SUMIF(Triangle!F5:F14, "&lt;&gt;", Triangle!E5:E14)</f>
        <v>1.0193527745763513</v>
      </c>
      <c r="F15" s="13">
        <f>SUMIF(Triangle!G5:G14, "&lt;&gt;", Triangle!G5:G14)/SUMIF(Triangle!G5:G14, "&lt;&gt;", Triangle!F5:F14)</f>
        <v>1.0103178046926646</v>
      </c>
      <c r="G15" s="13">
        <f>SUMIF(Triangle!H5:H14, "&lt;&gt;", Triangle!H5:H14)/SUMIF(Triangle!H5:H14, "&lt;&gt;", Triangle!G5:G14)</f>
        <v>1.0034546194486236</v>
      </c>
      <c r="H15" s="13">
        <f>SUMIF(Triangle!I5:I14, "&lt;&gt;", Triangle!I5:I14)/SUMIF(Triangle!I5:I14, "&lt;&gt;", Triangle!H5:H14)</f>
        <v>1.0026420177573363</v>
      </c>
      <c r="I15" s="13">
        <f>SUMIF(Triangle!J5:J14, "&lt;&gt;", Triangle!J5:J14)/SUMIF(Triangle!J5:J14, "&lt;&gt;", Triangle!I5:I14)</f>
        <v>1.0010574282432236</v>
      </c>
      <c r="J15" s="13">
        <f>SUMIF(Triangle!K5:K14, "&lt;&gt;", Triangle!K5:K14)/SUMIF(Triangle!K5:K14, "&lt;&gt;", Triangle!J5:J14)</f>
        <v>1.00083377669078</v>
      </c>
      <c r="Q15" s="5"/>
      <c r="R15" s="5"/>
      <c r="S15" s="5"/>
      <c r="T15" s="5"/>
      <c r="U15" s="5"/>
      <c r="V15" s="5"/>
      <c r="W15" s="5"/>
      <c r="X15" s="5"/>
      <c r="Y15" s="5"/>
    </row>
    <row r="17" spans="1:11" ht="15.75" thickBot="1" x14ac:dyDescent="0.3">
      <c r="A17" s="10"/>
      <c r="B17" s="10"/>
      <c r="C17" s="10"/>
      <c r="D17" s="10"/>
      <c r="E17" s="10"/>
      <c r="F17" s="10"/>
      <c r="G17" s="10"/>
      <c r="H17" s="10"/>
      <c r="I17" s="10"/>
      <c r="J17" s="10"/>
      <c r="K17" s="10"/>
    </row>
    <row r="18" spans="1:11" ht="15.75" thickBot="1" x14ac:dyDescent="0.3">
      <c r="A18" s="3" t="s">
        <v>22</v>
      </c>
      <c r="B18" s="2">
        <v>1</v>
      </c>
      <c r="C18" s="2">
        <v>2</v>
      </c>
      <c r="D18" s="2">
        <v>3</v>
      </c>
      <c r="E18" s="2">
        <v>4</v>
      </c>
      <c r="F18" s="2">
        <v>5</v>
      </c>
      <c r="G18" s="2">
        <v>6</v>
      </c>
      <c r="H18" s="2">
        <v>7</v>
      </c>
      <c r="I18" s="2">
        <v>8</v>
      </c>
      <c r="J18" s="2">
        <v>9</v>
      </c>
      <c r="K18" s="25">
        <v>10</v>
      </c>
    </row>
    <row r="19" spans="1:11" ht="15.75" thickBot="1" x14ac:dyDescent="0.3">
      <c r="A19" s="3" t="s">
        <v>28</v>
      </c>
      <c r="B19" s="23">
        <f t="shared" ref="B19:I19" si="1">B15*C19</f>
        <v>1.8591654828090445</v>
      </c>
      <c r="C19" s="14">
        <f t="shared" si="1"/>
        <v>1.1992148705445815</v>
      </c>
      <c r="D19" s="14">
        <f t="shared" si="1"/>
        <v>1.0906602040365321</v>
      </c>
      <c r="E19" s="14">
        <f t="shared" si="1"/>
        <v>1.0381189039644634</v>
      </c>
      <c r="F19" s="14">
        <f t="shared" si="1"/>
        <v>1.0184098477545336</v>
      </c>
      <c r="G19" s="14">
        <f t="shared" si="1"/>
        <v>1.0080094035998213</v>
      </c>
      <c r="H19" s="14">
        <f t="shared" si="1"/>
        <v>1.0045391032767386</v>
      </c>
      <c r="I19" s="14">
        <f t="shared" si="1"/>
        <v>1.001892086593025</v>
      </c>
      <c r="J19" s="14">
        <f>J15*K19</f>
        <v>1.00083377669078</v>
      </c>
      <c r="K19" s="14">
        <v>1</v>
      </c>
    </row>
    <row r="20" spans="1:11" ht="15.75" thickBot="1" x14ac:dyDescent="0.3">
      <c r="A20" s="3" t="s">
        <v>29</v>
      </c>
      <c r="B20" s="24">
        <f t="shared" ref="B20:I20" si="2">B14*C20</f>
        <v>1.8612806079549675</v>
      </c>
      <c r="C20" s="13">
        <f t="shared" si="2"/>
        <v>1.1998717474005061</v>
      </c>
      <c r="D20" s="13">
        <f t="shared" si="2"/>
        <v>1.0906355135896715</v>
      </c>
      <c r="E20" s="13">
        <f t="shared" si="2"/>
        <v>1.0381309634190656</v>
      </c>
      <c r="F20" s="13">
        <f t="shared" si="2"/>
        <v>1.0184817328136455</v>
      </c>
      <c r="G20" s="13">
        <f t="shared" si="2"/>
        <v>1.0080881188123751</v>
      </c>
      <c r="H20" s="13">
        <f t="shared" si="2"/>
        <v>1.0045793795240048</v>
      </c>
      <c r="I20" s="13">
        <f t="shared" si="2"/>
        <v>1.0018940502358467</v>
      </c>
      <c r="J20" s="13">
        <f>J14*K20</f>
        <v>1.00083377669078</v>
      </c>
      <c r="K20" s="13">
        <v>1</v>
      </c>
    </row>
  </sheetData>
  <phoneticPr fontId="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02C1B-FA60-4628-A98E-F52F683C1B59}">
  <dimension ref="A1:F12"/>
  <sheetViews>
    <sheetView workbookViewId="0"/>
  </sheetViews>
  <sheetFormatPr defaultRowHeight="15" x14ac:dyDescent="0.25"/>
  <cols>
    <col min="1" max="1" width="12.85546875" bestFit="1" customWidth="1"/>
    <col min="2" max="2" width="34.7109375" bestFit="1" customWidth="1"/>
    <col min="3" max="3" width="9" bestFit="1" customWidth="1"/>
    <col min="4" max="4" width="20.7109375" bestFit="1" customWidth="1"/>
    <col min="5" max="5" width="31.28515625" bestFit="1" customWidth="1"/>
    <col min="6" max="6" width="19" bestFit="1" customWidth="1"/>
  </cols>
  <sheetData>
    <row r="1" spans="1:6" ht="15.75" thickBot="1" x14ac:dyDescent="0.3">
      <c r="A1" s="2" t="s">
        <v>7</v>
      </c>
      <c r="B1" s="25" t="s">
        <v>51</v>
      </c>
      <c r="C1" s="2" t="s">
        <v>23</v>
      </c>
      <c r="D1" s="2" t="s">
        <v>28</v>
      </c>
      <c r="E1" s="2" t="s">
        <v>52</v>
      </c>
      <c r="F1" s="2" t="s">
        <v>53</v>
      </c>
    </row>
    <row r="2" spans="1:6" ht="15.75" thickBot="1" x14ac:dyDescent="0.3">
      <c r="A2" s="2">
        <v>1998</v>
      </c>
      <c r="B2" s="34" cm="1">
        <f t="array" ref="B2">_xlfn.XLOOKUP(TRUE, Triangle!B5:K5&lt;&gt;"",Triangle!B5:K5, ,0,-1)</f>
        <v>126038</v>
      </c>
      <c r="C2" s="32" cm="1">
        <f t="array" ref="C2">_xlfn.XLOOKUP(TRUE, Triangle!B5:K5&lt;&gt;"", Triangle!$B$4:$K$4, , 0, -1)</f>
        <v>10</v>
      </c>
      <c r="D2" s="18">
        <f>_xlfn.XLOOKUP(C2,Factors!$B$18:$K$18,Factors!$B$19:$K$19, ,0,1)</f>
        <v>1</v>
      </c>
      <c r="E2" s="33">
        <f>B2*D2</f>
        <v>126038</v>
      </c>
      <c r="F2" s="33">
        <f>E2-B2</f>
        <v>0</v>
      </c>
    </row>
    <row r="3" spans="1:6" ht="15.75" thickBot="1" x14ac:dyDescent="0.3">
      <c r="A3" s="2">
        <v>1999</v>
      </c>
      <c r="B3" s="35" cm="1">
        <f t="array" ref="B3">_xlfn.XLOOKUP(TRUE, Triangle!B6:K6&lt;&gt;"",Triangle!B6:K6, ,0,-1)</f>
        <v>137247</v>
      </c>
      <c r="C3" s="29" cm="1">
        <f t="array" ref="C3">_xlfn.XLOOKUP(TRUE, Triangle!B6:K6&lt;&gt;"", Triangle!$B$4:$K$4, , 0, -1)</f>
        <v>9</v>
      </c>
      <c r="D3" s="15">
        <f>_xlfn.XLOOKUP(C3,Factors!$B$18:$K$18,Factors!$B$19:$K$19, ,0,1)</f>
        <v>1.00083377669078</v>
      </c>
      <c r="E3" s="30">
        <f t="shared" ref="E3:E11" si="0">B3*D3</f>
        <v>137361.43334947948</v>
      </c>
      <c r="F3" s="30">
        <f t="shared" ref="F3:F11" si="1">E3-B3</f>
        <v>114.4333494794846</v>
      </c>
    </row>
    <row r="4" spans="1:6" ht="15.75" thickBot="1" x14ac:dyDescent="0.3">
      <c r="A4" s="2">
        <v>2000</v>
      </c>
      <c r="B4" s="35" cm="1">
        <f t="array" ref="B4">_xlfn.XLOOKUP(TRUE, Triangle!B7:K7&lt;&gt;"",Triangle!B7:K7, ,0,-1)</f>
        <v>141264</v>
      </c>
      <c r="C4" s="29" cm="1">
        <f t="array" ref="C4">_xlfn.XLOOKUP(TRUE, Triangle!B7:K7&lt;&gt;"", Triangle!$B$4:$K$4, , 0, -1)</f>
        <v>8</v>
      </c>
      <c r="D4" s="15">
        <f>_xlfn.XLOOKUP(C4,Factors!$B$18:$K$18,Factors!$B$19:$K$19, ,0,1)</f>
        <v>1.001892086593025</v>
      </c>
      <c r="E4" s="30">
        <f t="shared" si="0"/>
        <v>141531.28372047708</v>
      </c>
      <c r="F4" s="30">
        <f t="shared" si="1"/>
        <v>267.28372047707671</v>
      </c>
    </row>
    <row r="5" spans="1:6" ht="15.75" thickBot="1" x14ac:dyDescent="0.3">
      <c r="A5" s="2">
        <v>2001</v>
      </c>
      <c r="B5" s="35" cm="1">
        <f t="array" ref="B5">_xlfn.XLOOKUP(TRUE, Triangle!B8:K8&lt;&gt;"",Triangle!B8:K8, ,0,-1)</f>
        <v>141816</v>
      </c>
      <c r="C5" s="29" cm="1">
        <f t="array" ref="C5">_xlfn.XLOOKUP(TRUE, Triangle!B8:K8&lt;&gt;"", Triangle!$B$4:$K$4, , 0, -1)</f>
        <v>7</v>
      </c>
      <c r="D5" s="15">
        <f>_xlfn.XLOOKUP(C5,Factors!$B$18:$K$18,Factors!$B$19:$K$19, ,0,1)</f>
        <v>1.0045391032767386</v>
      </c>
      <c r="E5" s="30">
        <f t="shared" si="0"/>
        <v>142459.71747029395</v>
      </c>
      <c r="F5" s="30">
        <f t="shared" si="1"/>
        <v>643.71747029395192</v>
      </c>
    </row>
    <row r="6" spans="1:6" ht="15.75" thickBot="1" x14ac:dyDescent="0.3">
      <c r="A6" s="2">
        <v>2002</v>
      </c>
      <c r="B6" s="35" cm="1">
        <f t="array" ref="B6">_xlfn.XLOOKUP(TRUE, Triangle!B9:K9&lt;&gt;"",Triangle!B9:K9, ,0,-1)</f>
        <v>150819</v>
      </c>
      <c r="C6" s="29" cm="1">
        <f t="array" ref="C6">_xlfn.XLOOKUP(TRUE, Triangle!B9:K9&lt;&gt;"", Triangle!$B$4:$K$4, , 0, -1)</f>
        <v>6</v>
      </c>
      <c r="D6" s="15">
        <f>_xlfn.XLOOKUP(C6,Factors!$B$18:$K$18,Factors!$B$19:$K$19, ,0,1)</f>
        <v>1.0080094035998213</v>
      </c>
      <c r="E6" s="30">
        <f t="shared" si="0"/>
        <v>152026.97024152146</v>
      </c>
      <c r="F6" s="30">
        <f t="shared" si="1"/>
        <v>1207.970241521456</v>
      </c>
    </row>
    <row r="7" spans="1:6" ht="15.75" thickBot="1" x14ac:dyDescent="0.3">
      <c r="A7" s="2">
        <v>2003</v>
      </c>
      <c r="B7" s="35" cm="1">
        <f t="array" ref="B7">_xlfn.XLOOKUP(TRUE, Triangle!B10:K10&lt;&gt;"",Triangle!B10:K10, ,0,-1)</f>
        <v>154348</v>
      </c>
      <c r="C7" s="29" cm="1">
        <f t="array" ref="C7">_xlfn.XLOOKUP(TRUE, Triangle!B10:K10&lt;&gt;"", Triangle!$B$4:$K$4, , 0, -1)</f>
        <v>5</v>
      </c>
      <c r="D7" s="15">
        <f>_xlfn.XLOOKUP(C7,Factors!$B$18:$K$18,Factors!$B$19:$K$19, ,0,1)</f>
        <v>1.0184098477545336</v>
      </c>
      <c r="E7" s="30">
        <f t="shared" si="0"/>
        <v>157189.52318121676</v>
      </c>
      <c r="F7" s="30">
        <f t="shared" si="1"/>
        <v>2841.5231812167622</v>
      </c>
    </row>
    <row r="8" spans="1:6" ht="15.75" thickBot="1" x14ac:dyDescent="0.3">
      <c r="A8" s="2">
        <v>2004</v>
      </c>
      <c r="B8" s="35" cm="1">
        <f t="array" ref="B8">_xlfn.XLOOKUP(TRUE, Triangle!B11:K11&lt;&gt;"",Triangle!B11:K11, ,0,-1)</f>
        <v>170055</v>
      </c>
      <c r="C8" s="29" cm="1">
        <f t="array" ref="C8">_xlfn.XLOOKUP(TRUE, Triangle!B11:K11&lt;&gt;"", Triangle!$B$4:$K$4, , 0, -1)</f>
        <v>4</v>
      </c>
      <c r="D8" s="15">
        <f>_xlfn.XLOOKUP(C8,Factors!$B$18:$K$18,Factors!$B$19:$K$19, ,0,1)</f>
        <v>1.0381189039644634</v>
      </c>
      <c r="E8" s="30">
        <f t="shared" si="0"/>
        <v>176537.31021367683</v>
      </c>
      <c r="F8" s="30">
        <f t="shared" si="1"/>
        <v>6482.3102136768284</v>
      </c>
    </row>
    <row r="9" spans="1:6" ht="15.75" thickBot="1" x14ac:dyDescent="0.3">
      <c r="A9" s="2">
        <v>2005</v>
      </c>
      <c r="B9" s="35" cm="1">
        <f t="array" ref="B9">_xlfn.XLOOKUP(TRUE, Triangle!B12:K12&lt;&gt;"",Triangle!B12:K12, ,0,-1)</f>
        <v>165521</v>
      </c>
      <c r="C9" s="29" cm="1">
        <f t="array" ref="C9">_xlfn.XLOOKUP(TRUE, Triangle!B12:K12&lt;&gt;"", Triangle!$B$4:$K$4, , 0, -1)</f>
        <v>3</v>
      </c>
      <c r="D9" s="15">
        <f>_xlfn.XLOOKUP(C9,Factors!$B$18:$K$18,Factors!$B$19:$K$19, ,0,1)</f>
        <v>1.0906602040365321</v>
      </c>
      <c r="E9" s="30">
        <f t="shared" si="0"/>
        <v>180527.16763233082</v>
      </c>
      <c r="F9" s="30">
        <f t="shared" si="1"/>
        <v>15006.16763233082</v>
      </c>
    </row>
    <row r="10" spans="1:6" ht="15.75" thickBot="1" x14ac:dyDescent="0.3">
      <c r="A10" s="2">
        <v>2006</v>
      </c>
      <c r="B10" s="35" cm="1">
        <f t="array" ref="B10">_xlfn.XLOOKUP(TRUE, Triangle!B13:K13&lt;&gt;"",Triangle!B13:K13, ,0,-1)</f>
        <v>140342</v>
      </c>
      <c r="C10" s="29" cm="1">
        <f t="array" ref="C10">_xlfn.XLOOKUP(TRUE, Triangle!B13:K13&lt;&gt;"", Triangle!$B$4:$K$4, , 0, -1)</f>
        <v>2</v>
      </c>
      <c r="D10" s="15">
        <f>_xlfn.XLOOKUP(C10,Factors!$B$18:$K$18,Factors!$B$19:$K$19, ,0,1)</f>
        <v>1.1992148705445815</v>
      </c>
      <c r="E10" s="30">
        <f t="shared" si="0"/>
        <v>168300.21336196768</v>
      </c>
      <c r="F10" s="30">
        <f t="shared" si="1"/>
        <v>27958.213361967675</v>
      </c>
    </row>
    <row r="11" spans="1:6" ht="15.75" thickBot="1" x14ac:dyDescent="0.3">
      <c r="A11" s="2">
        <v>2007</v>
      </c>
      <c r="B11" s="37" cm="1">
        <f t="array" ref="B11">_xlfn.XLOOKUP(TRUE, Triangle!B14:K14&lt;&gt;"",Triangle!B14:K14, ,0,-1)</f>
        <v>106588</v>
      </c>
      <c r="C11" s="38" cm="1">
        <f t="array" ref="C11">_xlfn.XLOOKUP(TRUE, Triangle!B14:K14&lt;&gt;"", Triangle!$B$4:$K$4, , 0, -1)</f>
        <v>1</v>
      </c>
      <c r="D11" s="16">
        <f>_xlfn.XLOOKUP(C11,Factors!$B$18:$K$18,Factors!$B$19:$K$19, ,0,1)</f>
        <v>1.8591654828090445</v>
      </c>
      <c r="E11" s="39">
        <f t="shared" si="0"/>
        <v>198164.73048165042</v>
      </c>
      <c r="F11" s="39">
        <f t="shared" si="1"/>
        <v>91576.730481650418</v>
      </c>
    </row>
    <row r="12" spans="1:6" ht="15.75" thickBot="1" x14ac:dyDescent="0.3">
      <c r="A12" s="40" t="s">
        <v>24</v>
      </c>
      <c r="B12" s="41">
        <f>SUM(B2:B11)</f>
        <v>1434038</v>
      </c>
      <c r="C12" s="42"/>
      <c r="D12" s="42"/>
      <c r="E12" s="43">
        <f>SUM(E2:E11)</f>
        <v>1580136.3496526144</v>
      </c>
      <c r="F12" s="43">
        <f>SUM(F2:F11)</f>
        <v>146098.34965261447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34F6-5733-4E98-87F9-F74551F754CE}">
  <dimension ref="A1:I19"/>
  <sheetViews>
    <sheetView workbookViewId="0"/>
  </sheetViews>
  <sheetFormatPr defaultRowHeight="15" x14ac:dyDescent="0.25"/>
  <cols>
    <col min="1" max="1" width="12.85546875" bestFit="1" customWidth="1"/>
    <col min="2" max="2" width="28.7109375" bestFit="1" customWidth="1"/>
    <col min="3" max="3" width="6.5703125" bestFit="1" customWidth="1"/>
    <col min="4" max="4" width="29.140625" bestFit="1" customWidth="1"/>
    <col min="5" max="5" width="20.7109375" bestFit="1" customWidth="1"/>
    <col min="6" max="6" width="12.85546875" bestFit="1" customWidth="1"/>
    <col min="7" max="7" width="28.5703125" bestFit="1" customWidth="1"/>
    <col min="8" max="8" width="24.85546875" bestFit="1" customWidth="1"/>
    <col min="9" max="9" width="21.7109375" bestFit="1" customWidth="1"/>
  </cols>
  <sheetData>
    <row r="1" spans="1:9" ht="15.75" thickBot="1" x14ac:dyDescent="0.3">
      <c r="A1" s="2" t="s">
        <v>7</v>
      </c>
      <c r="B1" s="25" t="s">
        <v>48</v>
      </c>
      <c r="C1" s="2" t="s">
        <v>25</v>
      </c>
      <c r="D1" s="2" t="s">
        <v>54</v>
      </c>
      <c r="E1" s="2" t="s">
        <v>28</v>
      </c>
      <c r="F1" s="2" t="s">
        <v>26</v>
      </c>
      <c r="G1" s="2" t="s">
        <v>55</v>
      </c>
      <c r="H1" s="2" t="s">
        <v>56</v>
      </c>
      <c r="I1" s="2" t="s">
        <v>57</v>
      </c>
    </row>
    <row r="2" spans="1:9" ht="15.75" thickBot="1" x14ac:dyDescent="0.3">
      <c r="A2" s="2">
        <v>1998</v>
      </c>
      <c r="B2" s="34">
        <f>_xlfn.XLOOKUP(A2,Table1[AccidentYear],Table1[EarnedPremDIR (in thousands)], ,0,1)</f>
        <v>177563</v>
      </c>
      <c r="C2" s="45" cm="1">
        <f t="array" ref="C2">AVERAGE('Chain Ladder'!$E$2:$E$5/BF!$B$2:$B$5)</f>
        <v>0.74662324237202315</v>
      </c>
      <c r="D2" s="33">
        <f>B2*C2</f>
        <v>132572.66278530355</v>
      </c>
      <c r="E2" s="18">
        <f>_xlfn.XLOOKUP(A2,'Chain Ladder'!A2:A11,'Chain Ladder'!D2:D11,,0,1)</f>
        <v>1</v>
      </c>
      <c r="F2" s="47">
        <f>1-(1/E2)</f>
        <v>0</v>
      </c>
      <c r="G2" s="31" cm="1">
        <f t="array" ref="G2">_xlfn.XLOOKUP(TRUE,Triangle!B5:K5&lt;&gt;"",Triangle!B5:K5,,0,-1)</f>
        <v>126038</v>
      </c>
      <c r="H2" s="33">
        <f>G2+(D2*F2)</f>
        <v>126038</v>
      </c>
      <c r="I2" s="33">
        <f>H2-G2</f>
        <v>0</v>
      </c>
    </row>
    <row r="3" spans="1:9" ht="15.75" thickBot="1" x14ac:dyDescent="0.3">
      <c r="A3" s="2">
        <v>1999</v>
      </c>
      <c r="B3" s="35">
        <f>_xlfn.XLOOKUP(A3,Table1[AccidentYear],Table1[EarnedPremDIR (in thousands)], ,0,1)</f>
        <v>180249</v>
      </c>
      <c r="C3" s="46" cm="1">
        <f t="array" ref="C3">AVERAGE('Chain Ladder'!$E$2:$E$5/BF!$B$2:$B$5)</f>
        <v>0.74662324237202315</v>
      </c>
      <c r="D3" s="30">
        <f t="shared" ref="D3:D11" si="0">B3*C3</f>
        <v>134578.09281431479</v>
      </c>
      <c r="E3" s="15">
        <f>_xlfn.XLOOKUP(A3,'Chain Ladder'!A3:A12,'Chain Ladder'!D3:D12,,0,1)</f>
        <v>1.00083377669078</v>
      </c>
      <c r="F3" s="48">
        <f t="shared" ref="F3:F11" si="1">1-(1/E3)</f>
        <v>8.3308208635490821E-4</v>
      </c>
      <c r="G3" s="28" cm="1">
        <f t="array" ref="G3">_xlfn.XLOOKUP(TRUE,Triangle!B6:K6&lt;&gt;"",Triangle!B6:K6,,0,-1)</f>
        <v>137247</v>
      </c>
      <c r="H3" s="30">
        <f t="shared" ref="H3:H11" si="2">G3+(D3*F3)</f>
        <v>137359.11459833942</v>
      </c>
      <c r="I3" s="30">
        <f t="shared" ref="I3:I11" si="3">H3-G3</f>
        <v>112.11459833942354</v>
      </c>
    </row>
    <row r="4" spans="1:9" ht="15.75" thickBot="1" x14ac:dyDescent="0.3">
      <c r="A4" s="2">
        <v>2000</v>
      </c>
      <c r="B4" s="35">
        <f>_xlfn.XLOOKUP(A4,Table1[AccidentYear],Table1[EarnedPremDIR (in thousands)], ,0,1)</f>
        <v>183981</v>
      </c>
      <c r="C4" s="46" cm="1">
        <f t="array" ref="C4">AVERAGE('Chain Ladder'!$E$2:$E$5/BF!$B$2:$B$5)</f>
        <v>0.74662324237202315</v>
      </c>
      <c r="D4" s="30">
        <f t="shared" si="0"/>
        <v>137364.49075484718</v>
      </c>
      <c r="E4" s="15">
        <f>_xlfn.XLOOKUP(A4,'Chain Ladder'!A4:A13,'Chain Ladder'!D4:D13,,0,1)</f>
        <v>1.001892086593025</v>
      </c>
      <c r="F4" s="48">
        <f t="shared" si="1"/>
        <v>1.8885133622116301E-3</v>
      </c>
      <c r="G4" s="28" cm="1">
        <f t="array" ref="G4">_xlfn.XLOOKUP(TRUE,Triangle!B7:K7&lt;&gt;"",Triangle!B7:K7,,0,-1)</f>
        <v>141264</v>
      </c>
      <c r="H4" s="30">
        <f t="shared" si="2"/>
        <v>141523.41467628392</v>
      </c>
      <c r="I4" s="30">
        <f t="shared" si="3"/>
        <v>259.41467628392274</v>
      </c>
    </row>
    <row r="5" spans="1:9" ht="15.75" thickBot="1" x14ac:dyDescent="0.3">
      <c r="A5" s="2">
        <v>2001</v>
      </c>
      <c r="B5" s="35">
        <f>_xlfn.XLOOKUP(A5,Table1[AccidentYear],Table1[EarnedPremDIR (in thousands)], ,0,1)</f>
        <v>191135</v>
      </c>
      <c r="C5" s="46" cm="1">
        <f t="array" ref="C5">AVERAGE('Chain Ladder'!$E$2:$E$5/BF!$B$2:$B$5)</f>
        <v>0.74662324237202315</v>
      </c>
      <c r="D5" s="30">
        <f t="shared" si="0"/>
        <v>142705.83343077663</v>
      </c>
      <c r="E5" s="15">
        <f>_xlfn.XLOOKUP(A5,'Chain Ladder'!A5:A14,'Chain Ladder'!D5:D14,,0,1)</f>
        <v>1.0045391032767386</v>
      </c>
      <c r="F5" s="48">
        <f t="shared" si="1"/>
        <v>4.5185929168235495E-3</v>
      </c>
      <c r="G5" s="28" cm="1">
        <f t="array" ref="G5">_xlfn.XLOOKUP(TRUE,Triangle!B8:K8&lt;&gt;"",Triangle!B8:K8,,0,-1)</f>
        <v>141816</v>
      </c>
      <c r="H5" s="30">
        <f t="shared" si="2"/>
        <v>142460.8295681297</v>
      </c>
      <c r="I5" s="30">
        <f t="shared" si="3"/>
        <v>644.82956812970224</v>
      </c>
    </row>
    <row r="6" spans="1:9" ht="15.75" thickBot="1" x14ac:dyDescent="0.3">
      <c r="A6" s="2">
        <v>2002</v>
      </c>
      <c r="B6" s="35">
        <f>_xlfn.XLOOKUP(A6,Table1[AccidentYear],Table1[EarnedPremDIR (in thousands)], ,0,1)</f>
        <v>207149</v>
      </c>
      <c r="C6" s="46" cm="1">
        <f t="array" ref="C6">AVERAGE('Chain Ladder'!$E$2:$E$5/BF!$B$2:$B$5)</f>
        <v>0.74662324237202315</v>
      </c>
      <c r="D6" s="30">
        <f t="shared" si="0"/>
        <v>154662.25803412223</v>
      </c>
      <c r="E6" s="15">
        <f>_xlfn.XLOOKUP(A6,'Chain Ladder'!A6:A15,'Chain Ladder'!D6:D15,,0,1)</f>
        <v>1.0080094035998213</v>
      </c>
      <c r="F6" s="48">
        <f t="shared" si="1"/>
        <v>7.9457627788173113E-3</v>
      </c>
      <c r="G6" s="28" cm="1">
        <f t="array" ref="G6">_xlfn.XLOOKUP(TRUE,Triangle!B9:K9&lt;&gt;"",Triangle!B9:K9,,0,-1)</f>
        <v>150819</v>
      </c>
      <c r="H6" s="30">
        <f t="shared" si="2"/>
        <v>152047.90961317538</v>
      </c>
      <c r="I6" s="30">
        <f t="shared" si="3"/>
        <v>1228.9096131753759</v>
      </c>
    </row>
    <row r="7" spans="1:9" ht="15.75" thickBot="1" x14ac:dyDescent="0.3">
      <c r="A7" s="2">
        <v>2003</v>
      </c>
      <c r="B7" s="35">
        <f>_xlfn.XLOOKUP(A7,Table1[AccidentYear],Table1[EarnedPremDIR (in thousands)], ,0,1)</f>
        <v>214963</v>
      </c>
      <c r="C7" s="46" cm="1">
        <f t="array" ref="C7">AVERAGE('Chain Ladder'!$E$2:$E$5/BF!$B$2:$B$5)</f>
        <v>0.74662324237202315</v>
      </c>
      <c r="D7" s="30">
        <f t="shared" si="0"/>
        <v>160496.37205001721</v>
      </c>
      <c r="E7" s="15">
        <f>_xlfn.XLOOKUP(A7,'Chain Ladder'!A7:A16,'Chain Ladder'!D7:D16,,0,1)</f>
        <v>1.0184098477545336</v>
      </c>
      <c r="F7" s="48">
        <f t="shared" si="1"/>
        <v>1.8077051979735859E-2</v>
      </c>
      <c r="G7" s="28" cm="1">
        <f t="array" ref="G7">_xlfn.XLOOKUP(TRUE,Triangle!B10:K10&lt;&gt;"",Triangle!B10:K10,,0,-1)</f>
        <v>154348</v>
      </c>
      <c r="H7" s="30">
        <f t="shared" si="2"/>
        <v>157249.3012601072</v>
      </c>
      <c r="I7" s="30">
        <f t="shared" si="3"/>
        <v>2901.3012601071969</v>
      </c>
    </row>
    <row r="8" spans="1:9" ht="15.75" thickBot="1" x14ac:dyDescent="0.3">
      <c r="A8" s="2">
        <v>2004</v>
      </c>
      <c r="B8" s="35">
        <f>_xlfn.XLOOKUP(A8,Table1[AccidentYear],Table1[EarnedPremDIR (in thousands)], ,0,1)</f>
        <v>224282</v>
      </c>
      <c r="C8" s="46" cm="1">
        <f t="array" ref="C8">AVERAGE('Chain Ladder'!$E$2:$E$5/BF!$B$2:$B$5)</f>
        <v>0.74662324237202315</v>
      </c>
      <c r="D8" s="30">
        <f t="shared" si="0"/>
        <v>167454.15404568211</v>
      </c>
      <c r="E8" s="15">
        <f>_xlfn.XLOOKUP(A8,'Chain Ladder'!A8:A17,'Chain Ladder'!D8:D17,,0,1)</f>
        <v>1.0381189039644634</v>
      </c>
      <c r="F8" s="48">
        <f t="shared" si="1"/>
        <v>3.6719208001021242E-2</v>
      </c>
      <c r="G8" s="28" cm="1">
        <f t="array" ref="G8">_xlfn.XLOOKUP(TRUE,Triangle!B11:K11&lt;&gt;"",Triangle!B11:K11,,0,-1)</f>
        <v>170055</v>
      </c>
      <c r="H8" s="30">
        <f t="shared" si="2"/>
        <v>176203.78391303847</v>
      </c>
      <c r="I8" s="30">
        <f t="shared" si="3"/>
        <v>6148.7839130384673</v>
      </c>
    </row>
    <row r="9" spans="1:9" ht="15.75" thickBot="1" x14ac:dyDescent="0.3">
      <c r="A9" s="2">
        <v>2005</v>
      </c>
      <c r="B9" s="35">
        <f>_xlfn.XLOOKUP(A9,Table1[AccidentYear],Table1[EarnedPremDIR (in thousands)], ,0,1)</f>
        <v>236170</v>
      </c>
      <c r="C9" s="46" cm="1">
        <f t="array" ref="C9">AVERAGE('Chain Ladder'!$E$2:$E$5/BF!$B$2:$B$5)</f>
        <v>0.74662324237202315</v>
      </c>
      <c r="D9" s="30">
        <f t="shared" si="0"/>
        <v>176330.01115100071</v>
      </c>
      <c r="E9" s="15">
        <f>_xlfn.XLOOKUP(A9,'Chain Ladder'!A9:A18,'Chain Ladder'!D9:D18,,0,1)</f>
        <v>1.0906602040365321</v>
      </c>
      <c r="F9" s="48">
        <f t="shared" si="1"/>
        <v>8.3124151501080545E-2</v>
      </c>
      <c r="G9" s="28" cm="1">
        <f t="array" ref="G9">_xlfn.XLOOKUP(TRUE,Triangle!B12:K12&lt;&gt;"",Triangle!B12:K12,,0,-1)</f>
        <v>165521</v>
      </c>
      <c r="H9" s="30">
        <f t="shared" si="2"/>
        <v>180178.282561103</v>
      </c>
      <c r="I9" s="30">
        <f t="shared" si="3"/>
        <v>14657.282561102998</v>
      </c>
    </row>
    <row r="10" spans="1:9" ht="15.75" thickBot="1" x14ac:dyDescent="0.3">
      <c r="A10" s="2">
        <v>2006</v>
      </c>
      <c r="B10" s="35">
        <f>_xlfn.XLOOKUP(A10,Table1[AccidentYear],Table1[EarnedPremDIR (in thousands)], ,0,1)</f>
        <v>248235</v>
      </c>
      <c r="C10" s="46" cm="1">
        <f t="array" ref="C10">AVERAGE('Chain Ladder'!$E$2:$E$5/BF!$B$2:$B$5)</f>
        <v>0.74662324237202315</v>
      </c>
      <c r="D10" s="30">
        <f t="shared" si="0"/>
        <v>185338.02057021917</v>
      </c>
      <c r="E10" s="15">
        <f>_xlfn.XLOOKUP(A10,'Chain Ladder'!A10:A19,'Chain Ladder'!D10:D19,,0,1)</f>
        <v>1.1992148705445815</v>
      </c>
      <c r="F10" s="48">
        <f t="shared" si="1"/>
        <v>0.16612108091531175</v>
      </c>
      <c r="G10" s="28" cm="1">
        <f t="array" ref="G10">_xlfn.XLOOKUP(TRUE,Triangle!B13:K13&lt;&gt;"",Triangle!B13:K13,,0,-1)</f>
        <v>140342</v>
      </c>
      <c r="H10" s="30">
        <f t="shared" si="2"/>
        <v>171130.55231182909</v>
      </c>
      <c r="I10" s="30">
        <f t="shared" si="3"/>
        <v>30788.552311829088</v>
      </c>
    </row>
    <row r="11" spans="1:9" ht="15.75" thickBot="1" x14ac:dyDescent="0.3">
      <c r="A11" s="2">
        <v>2007</v>
      </c>
      <c r="B11" s="37">
        <f>_xlfn.XLOOKUP(A11,Table1[AccidentYear],Table1[EarnedPremDIR (in thousands)], ,0,1)</f>
        <v>253531</v>
      </c>
      <c r="C11" s="73" cm="1">
        <f t="array" ref="C11">AVERAGE('Chain Ladder'!$E$2:$E$5/BF!$B$2:$B$5)</f>
        <v>0.74662324237202315</v>
      </c>
      <c r="D11" s="39">
        <f t="shared" si="0"/>
        <v>189292.13726182139</v>
      </c>
      <c r="E11" s="16">
        <f>_xlfn.XLOOKUP(A11,'Chain Ladder'!A11:A20,'Chain Ladder'!D11:D20,,0,1)</f>
        <v>1.8591654828090445</v>
      </c>
      <c r="F11" s="74">
        <f t="shared" si="1"/>
        <v>0.46212426529720041</v>
      </c>
      <c r="G11" s="75" cm="1">
        <f t="array" ref="G11">_xlfn.XLOOKUP(TRUE,Triangle!B14:K14&lt;&gt;"",Triangle!B14:K14,,0,-1)</f>
        <v>106588</v>
      </c>
      <c r="H11" s="39">
        <f t="shared" si="2"/>
        <v>194064.48985865602</v>
      </c>
      <c r="I11" s="39">
        <f t="shared" si="3"/>
        <v>87476.489858656016</v>
      </c>
    </row>
    <row r="12" spans="1:9" x14ac:dyDescent="0.25">
      <c r="A12" s="76" t="s">
        <v>24</v>
      </c>
      <c r="B12" s="77">
        <f>SUM(B2:B11)</f>
        <v>2117258</v>
      </c>
      <c r="C12" s="42"/>
      <c r="D12" s="78">
        <f>SUM(D2:D11)</f>
        <v>1580794.032898105</v>
      </c>
      <c r="E12" s="42"/>
      <c r="F12" s="42"/>
      <c r="G12" s="78">
        <f>SUM(G2:G11)</f>
        <v>1434038</v>
      </c>
      <c r="H12" s="78">
        <f>SUM(H2:H11)</f>
        <v>1578255.678360662</v>
      </c>
      <c r="I12" s="78">
        <f>SUM(I2:I11)</f>
        <v>144217.67836066219</v>
      </c>
    </row>
    <row r="15" spans="1:9" x14ac:dyDescent="0.25">
      <c r="G15" s="44"/>
    </row>
    <row r="19" spans="5:5" x14ac:dyDescent="0.25">
      <c r="E19" s="4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CE6C-190C-4D45-9D43-8E0674EBA66A}">
  <dimension ref="A1:G23"/>
  <sheetViews>
    <sheetView zoomScaleNormal="100" workbookViewId="0"/>
  </sheetViews>
  <sheetFormatPr defaultRowHeight="15" x14ac:dyDescent="0.25"/>
  <cols>
    <col min="1" max="1" width="12.85546875" bestFit="1" customWidth="1"/>
    <col min="2" max="2" width="24.7109375" bestFit="1" customWidth="1"/>
    <col min="3" max="3" width="21.5703125" bestFit="1" customWidth="1"/>
    <col min="4" max="4" width="24.85546875" bestFit="1" customWidth="1"/>
    <col min="5" max="5" width="21.7109375" bestFit="1" customWidth="1"/>
    <col min="6" max="6" width="26.140625" bestFit="1" customWidth="1"/>
    <col min="7" max="7" width="7.140625" bestFit="1" customWidth="1"/>
  </cols>
  <sheetData>
    <row r="1" spans="1:7" ht="15.75" thickBot="1" x14ac:dyDescent="0.3">
      <c r="A1" s="2" t="s">
        <v>7</v>
      </c>
      <c r="B1" s="2" t="s">
        <v>58</v>
      </c>
      <c r="C1" s="2" t="s">
        <v>59</v>
      </c>
      <c r="D1" s="2" t="s">
        <v>56</v>
      </c>
      <c r="E1" s="2" t="s">
        <v>57</v>
      </c>
      <c r="F1" s="2" t="s">
        <v>60</v>
      </c>
      <c r="G1" s="2" t="s">
        <v>27</v>
      </c>
    </row>
    <row r="2" spans="1:7" ht="15.75" thickBot="1" x14ac:dyDescent="0.3">
      <c r="A2" s="2">
        <v>1998</v>
      </c>
      <c r="B2" s="55">
        <f>'Chain Ladder'!E2</f>
        <v>126038</v>
      </c>
      <c r="C2" s="56">
        <f>'Chain Ladder'!F2</f>
        <v>0</v>
      </c>
      <c r="D2" s="56">
        <f>BF!H2</f>
        <v>126038</v>
      </c>
      <c r="E2" s="56">
        <f>BF!I2</f>
        <v>0</v>
      </c>
      <c r="F2" s="57">
        <f>E2-C2</f>
        <v>0</v>
      </c>
      <c r="G2" s="50">
        <f>IFERROR(F2/C2,0)</f>
        <v>0</v>
      </c>
    </row>
    <row r="3" spans="1:7" ht="15.75" thickBot="1" x14ac:dyDescent="0.3">
      <c r="A3" s="2">
        <v>1999</v>
      </c>
      <c r="B3" s="58">
        <f>'Chain Ladder'!E3</f>
        <v>137361.43334947948</v>
      </c>
      <c r="C3" s="59">
        <f>'Chain Ladder'!F3</f>
        <v>114.4333494794846</v>
      </c>
      <c r="D3" s="59">
        <f>BF!H3</f>
        <v>137359.11459833942</v>
      </c>
      <c r="E3" s="59">
        <f>BF!I3</f>
        <v>112.11459833942354</v>
      </c>
      <c r="F3" s="60">
        <f t="shared" ref="F3:F11" si="0">E3-C3</f>
        <v>-2.3187511400610674</v>
      </c>
      <c r="G3" s="49">
        <f t="shared" ref="G3:G11" si="1">IFERROR(F3/C3,0)</f>
        <v>-2.0262896704572726E-2</v>
      </c>
    </row>
    <row r="4" spans="1:7" ht="15.75" thickBot="1" x14ac:dyDescent="0.3">
      <c r="A4" s="2">
        <v>2000</v>
      </c>
      <c r="B4" s="58">
        <f>'Chain Ladder'!E4</f>
        <v>141531.28372047708</v>
      </c>
      <c r="C4" s="59">
        <f>'Chain Ladder'!F4</f>
        <v>267.28372047707671</v>
      </c>
      <c r="D4" s="59">
        <f>BF!H4</f>
        <v>141523.41467628392</v>
      </c>
      <c r="E4" s="59">
        <f>BF!I4</f>
        <v>259.41467628392274</v>
      </c>
      <c r="F4" s="60">
        <f t="shared" si="0"/>
        <v>-7.8690441931539681</v>
      </c>
      <c r="G4" s="49">
        <f t="shared" si="1"/>
        <v>-2.9440791152968285E-2</v>
      </c>
    </row>
    <row r="5" spans="1:7" ht="15.75" thickBot="1" x14ac:dyDescent="0.3">
      <c r="A5" s="2">
        <v>2001</v>
      </c>
      <c r="B5" s="58">
        <f>'Chain Ladder'!E5</f>
        <v>142459.71747029395</v>
      </c>
      <c r="C5" s="59">
        <f>'Chain Ladder'!F5</f>
        <v>643.71747029395192</v>
      </c>
      <c r="D5" s="59">
        <f>BF!H5</f>
        <v>142460.8295681297</v>
      </c>
      <c r="E5" s="59">
        <f>BF!I5</f>
        <v>644.82956812970224</v>
      </c>
      <c r="F5" s="60">
        <f t="shared" si="0"/>
        <v>1.1120978357503191</v>
      </c>
      <c r="G5" s="49">
        <f t="shared" si="1"/>
        <v>1.7276179179081196E-3</v>
      </c>
    </row>
    <row r="6" spans="1:7" ht="15.75" thickBot="1" x14ac:dyDescent="0.3">
      <c r="A6" s="2">
        <v>2002</v>
      </c>
      <c r="B6" s="58">
        <f>'Chain Ladder'!E6</f>
        <v>152026.97024152146</v>
      </c>
      <c r="C6" s="59">
        <f>'Chain Ladder'!F6</f>
        <v>1207.970241521456</v>
      </c>
      <c r="D6" s="59">
        <f>BF!H6</f>
        <v>152047.90961317538</v>
      </c>
      <c r="E6" s="59">
        <f>BF!I6</f>
        <v>1228.9096131753759</v>
      </c>
      <c r="F6" s="60">
        <f t="shared" si="0"/>
        <v>20.939371653919807</v>
      </c>
      <c r="G6" s="49">
        <f t="shared" si="1"/>
        <v>1.7334343954985485E-2</v>
      </c>
    </row>
    <row r="7" spans="1:7" ht="15.75" thickBot="1" x14ac:dyDescent="0.3">
      <c r="A7" s="2">
        <v>2003</v>
      </c>
      <c r="B7" s="58">
        <f>'Chain Ladder'!E7</f>
        <v>157189.52318121676</v>
      </c>
      <c r="C7" s="59">
        <f>'Chain Ladder'!F7</f>
        <v>2841.5231812167622</v>
      </c>
      <c r="D7" s="59">
        <f>BF!H7</f>
        <v>157249.3012601072</v>
      </c>
      <c r="E7" s="59">
        <f>BF!I7</f>
        <v>2901.3012601071969</v>
      </c>
      <c r="F7" s="60">
        <f t="shared" si="0"/>
        <v>59.778078890434699</v>
      </c>
      <c r="G7" s="49">
        <f t="shared" si="1"/>
        <v>2.1037336343262651E-2</v>
      </c>
    </row>
    <row r="8" spans="1:7" ht="15.75" thickBot="1" x14ac:dyDescent="0.3">
      <c r="A8" s="2">
        <v>2004</v>
      </c>
      <c r="B8" s="58">
        <f>'Chain Ladder'!E8</f>
        <v>176537.31021367683</v>
      </c>
      <c r="C8" s="59">
        <f>'Chain Ladder'!F8</f>
        <v>6482.3102136768284</v>
      </c>
      <c r="D8" s="59">
        <f>BF!H8</f>
        <v>176203.78391303847</v>
      </c>
      <c r="E8" s="59">
        <f>BF!I8</f>
        <v>6148.7839130384673</v>
      </c>
      <c r="F8" s="60">
        <f t="shared" si="0"/>
        <v>-333.52630063836114</v>
      </c>
      <c r="G8" s="49">
        <f t="shared" si="1"/>
        <v>-5.1451764825241497E-2</v>
      </c>
    </row>
    <row r="9" spans="1:7" ht="15.75" thickBot="1" x14ac:dyDescent="0.3">
      <c r="A9" s="2">
        <v>2005</v>
      </c>
      <c r="B9" s="58">
        <f>'Chain Ladder'!E9</f>
        <v>180527.16763233082</v>
      </c>
      <c r="C9" s="59">
        <f>'Chain Ladder'!F9</f>
        <v>15006.16763233082</v>
      </c>
      <c r="D9" s="59">
        <f>BF!H9</f>
        <v>180178.282561103</v>
      </c>
      <c r="E9" s="59">
        <f>BF!I9</f>
        <v>14657.282561102998</v>
      </c>
      <c r="F9" s="60">
        <f t="shared" si="0"/>
        <v>-348.88507122782175</v>
      </c>
      <c r="G9" s="49">
        <f t="shared" si="1"/>
        <v>-2.3249445146550817E-2</v>
      </c>
    </row>
    <row r="10" spans="1:7" ht="15.75" thickBot="1" x14ac:dyDescent="0.3">
      <c r="A10" s="2">
        <v>2006</v>
      </c>
      <c r="B10" s="58">
        <f>'Chain Ladder'!E10</f>
        <v>168300.21336196768</v>
      </c>
      <c r="C10" s="59">
        <f>'Chain Ladder'!F10</f>
        <v>27958.213361967675</v>
      </c>
      <c r="D10" s="59">
        <f>BF!H10</f>
        <v>171130.55231182909</v>
      </c>
      <c r="E10" s="59">
        <f>BF!I10</f>
        <v>30788.552311829088</v>
      </c>
      <c r="F10" s="60">
        <f t="shared" si="0"/>
        <v>2830.3389498614124</v>
      </c>
      <c r="G10" s="49">
        <f t="shared" si="1"/>
        <v>0.10123461443039132</v>
      </c>
    </row>
    <row r="11" spans="1:7" ht="15.75" thickBot="1" x14ac:dyDescent="0.3">
      <c r="A11" s="2">
        <v>2007</v>
      </c>
      <c r="B11" s="61">
        <f>'Chain Ladder'!E11</f>
        <v>198164.73048165042</v>
      </c>
      <c r="C11" s="62">
        <f>'Chain Ladder'!F11</f>
        <v>91576.730481650418</v>
      </c>
      <c r="D11" s="62">
        <f>BF!H11</f>
        <v>194064.48985865602</v>
      </c>
      <c r="E11" s="62">
        <f>BF!I11</f>
        <v>87476.489858656016</v>
      </c>
      <c r="F11" s="63">
        <f t="shared" si="0"/>
        <v>-4100.2406229944027</v>
      </c>
      <c r="G11" s="51">
        <f t="shared" si="1"/>
        <v>-4.4773826292214963E-2</v>
      </c>
    </row>
    <row r="12" spans="1:7" x14ac:dyDescent="0.25">
      <c r="A12" s="52" t="s">
        <v>24</v>
      </c>
      <c r="B12" s="54"/>
      <c r="C12" s="65">
        <f>SUM(C2:C11)</f>
        <v>146098.34965261447</v>
      </c>
      <c r="D12" s="65"/>
      <c r="E12" s="65">
        <f>SUM(E2:E11)</f>
        <v>144217.67836066219</v>
      </c>
      <c r="F12" s="53"/>
      <c r="G12" s="64">
        <f>(E12-C12)/C12</f>
        <v>-1.2872638852006554E-2</v>
      </c>
    </row>
    <row r="23" spans="6:6" x14ac:dyDescent="0.25">
      <c r="F23" s="67"/>
    </row>
  </sheetData>
  <pageMargins left="0.7" right="0.7" top="0.75" bottom="0.75" header="0.3" footer="0.3"/>
  <pageSetup scale="3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6AD4-4FDD-4ADA-AFD0-90A8D8C31895}">
  <dimension ref="A1:F25"/>
  <sheetViews>
    <sheetView workbookViewId="0"/>
  </sheetViews>
  <sheetFormatPr defaultRowHeight="15" x14ac:dyDescent="0.25"/>
  <cols>
    <col min="1" max="1" width="16.7109375" bestFit="1" customWidth="1"/>
    <col min="2" max="2" width="34.7109375" bestFit="1" customWidth="1"/>
    <col min="3" max="3" width="29" bestFit="1" customWidth="1"/>
    <col min="4" max="4" width="15.7109375" bestFit="1" customWidth="1"/>
    <col min="5" max="5" width="31.28515625" bestFit="1" customWidth="1"/>
    <col min="6" max="6" width="19" bestFit="1" customWidth="1"/>
  </cols>
  <sheetData>
    <row r="1" spans="1:6" ht="15.75" thickBot="1" x14ac:dyDescent="0.3">
      <c r="A1" s="2" t="s">
        <v>7</v>
      </c>
      <c r="B1" s="2" t="s">
        <v>51</v>
      </c>
      <c r="C1" s="2" t="s">
        <v>23</v>
      </c>
      <c r="D1" s="2" t="s">
        <v>29</v>
      </c>
      <c r="E1" s="2" t="s">
        <v>52</v>
      </c>
      <c r="F1" s="2" t="s">
        <v>53</v>
      </c>
    </row>
    <row r="2" spans="1:6" ht="15.75" thickBot="1" x14ac:dyDescent="0.3">
      <c r="A2" s="2">
        <v>1998</v>
      </c>
      <c r="B2" s="34" cm="1">
        <f t="array" ref="B2">_xlfn.XLOOKUP(TRUE, Triangle!B5:K5&lt;&gt;"",Triangle!B5:K5, ,0,-1)</f>
        <v>126038</v>
      </c>
      <c r="C2" s="32" cm="1">
        <f t="array" ref="C2">_xlfn.XLOOKUP(TRUE, Triangle!B5:K5&lt;&gt;"", Triangle!$B$4:$K$4, , 0, -1)</f>
        <v>10</v>
      </c>
      <c r="D2" s="18">
        <f>_xlfn.XLOOKUP(C2,Factors!$B$18:$K$18,Factors!$B$20:$K$20, ,0,1)</f>
        <v>1</v>
      </c>
      <c r="E2" s="33">
        <f>B2*D2</f>
        <v>126038</v>
      </c>
      <c r="F2" s="33">
        <f>E2-B2</f>
        <v>0</v>
      </c>
    </row>
    <row r="3" spans="1:6" ht="15.75" thickBot="1" x14ac:dyDescent="0.3">
      <c r="A3" s="2">
        <v>1999</v>
      </c>
      <c r="B3" s="35" cm="1">
        <f t="array" ref="B3">_xlfn.XLOOKUP(TRUE, Triangle!B6:K6&lt;&gt;"",Triangle!B6:K6, ,0,-1)</f>
        <v>137247</v>
      </c>
      <c r="C3" s="29" cm="1">
        <f t="array" ref="C3">_xlfn.XLOOKUP(TRUE, Triangle!B6:K6&lt;&gt;"", Triangle!$B$4:$K$4, , 0, -1)</f>
        <v>9</v>
      </c>
      <c r="D3" s="15">
        <f>_xlfn.XLOOKUP(C3,Factors!$B$18:$K$18,Factors!$B$20:$K$20, ,0,1)</f>
        <v>1.00083377669078</v>
      </c>
      <c r="E3" s="30">
        <f t="shared" ref="E3:E11" si="0">B3*D3</f>
        <v>137361.43334947948</v>
      </c>
      <c r="F3" s="30">
        <f t="shared" ref="F3:F11" si="1">E3-B3</f>
        <v>114.4333494794846</v>
      </c>
    </row>
    <row r="4" spans="1:6" ht="15.75" thickBot="1" x14ac:dyDescent="0.3">
      <c r="A4" s="2">
        <v>2000</v>
      </c>
      <c r="B4" s="35" cm="1">
        <f t="array" ref="B4">_xlfn.XLOOKUP(TRUE, Triangle!B7:K7&lt;&gt;"",Triangle!B7:K7, ,0,-1)</f>
        <v>141264</v>
      </c>
      <c r="C4" s="29" cm="1">
        <f t="array" ref="C4">_xlfn.XLOOKUP(TRUE, Triangle!B7:K7&lt;&gt;"", Triangle!$B$4:$K$4, , 0, -1)</f>
        <v>8</v>
      </c>
      <c r="D4" s="15">
        <f>_xlfn.XLOOKUP(C4,Factors!$B$18:$K$18,Factors!$B$20:$K$20, ,0,1)</f>
        <v>1.0018940502358467</v>
      </c>
      <c r="E4" s="30">
        <f t="shared" si="0"/>
        <v>141531.56111251665</v>
      </c>
      <c r="F4" s="30">
        <f t="shared" si="1"/>
        <v>267.56111251664697</v>
      </c>
    </row>
    <row r="5" spans="1:6" ht="15.75" thickBot="1" x14ac:dyDescent="0.3">
      <c r="A5" s="2">
        <v>2001</v>
      </c>
      <c r="B5" s="35" cm="1">
        <f t="array" ref="B5">_xlfn.XLOOKUP(TRUE, Triangle!B8:K8&lt;&gt;"",Triangle!B8:K8, ,0,-1)</f>
        <v>141816</v>
      </c>
      <c r="C5" s="29" cm="1">
        <f t="array" ref="C5">_xlfn.XLOOKUP(TRUE, Triangle!B8:K8&lt;&gt;"", Triangle!$B$4:$K$4, , 0, -1)</f>
        <v>7</v>
      </c>
      <c r="D5" s="15">
        <f>_xlfn.XLOOKUP(C5,Factors!$B$18:$K$18,Factors!$B$20:$K$20, ,0,1)</f>
        <v>1.0045793795240048</v>
      </c>
      <c r="E5" s="30">
        <f t="shared" si="0"/>
        <v>142465.42928657625</v>
      </c>
      <c r="F5" s="30">
        <f t="shared" si="1"/>
        <v>649.42928657625453</v>
      </c>
    </row>
    <row r="6" spans="1:6" ht="15.75" thickBot="1" x14ac:dyDescent="0.3">
      <c r="A6" s="2">
        <v>2002</v>
      </c>
      <c r="B6" s="35" cm="1">
        <f t="array" ref="B6">_xlfn.XLOOKUP(TRUE, Triangle!B9:K9&lt;&gt;"",Triangle!B9:K9, ,0,-1)</f>
        <v>150819</v>
      </c>
      <c r="C6" s="29" cm="1">
        <f t="array" ref="C6">_xlfn.XLOOKUP(TRUE, Triangle!B9:K9&lt;&gt;"", Triangle!$B$4:$K$4, , 0, -1)</f>
        <v>6</v>
      </c>
      <c r="D6" s="15">
        <f>_xlfn.XLOOKUP(C6,Factors!$B$18:$K$18,Factors!$B$20:$K$20, ,0,1)</f>
        <v>1.0080881188123751</v>
      </c>
      <c r="E6" s="30">
        <f t="shared" si="0"/>
        <v>152038.84199116362</v>
      </c>
      <c r="F6" s="30">
        <f t="shared" si="1"/>
        <v>1219.8419911636156</v>
      </c>
    </row>
    <row r="7" spans="1:6" ht="15.75" thickBot="1" x14ac:dyDescent="0.3">
      <c r="A7" s="2">
        <v>2003</v>
      </c>
      <c r="B7" s="35" cm="1">
        <f t="array" ref="B7">_xlfn.XLOOKUP(TRUE, Triangle!B10:K10&lt;&gt;"",Triangle!B10:K10, ,0,-1)</f>
        <v>154348</v>
      </c>
      <c r="C7" s="29" cm="1">
        <f t="array" ref="C7">_xlfn.XLOOKUP(TRUE, Triangle!B10:K10&lt;&gt;"", Triangle!$B$4:$K$4, , 0, -1)</f>
        <v>5</v>
      </c>
      <c r="D7" s="15">
        <f>_xlfn.XLOOKUP(C7,Factors!$B$18:$K$18,Factors!$B$20:$K$20, ,0,1)</f>
        <v>1.0184817328136455</v>
      </c>
      <c r="E7" s="30">
        <f t="shared" si="0"/>
        <v>157200.61849632056</v>
      </c>
      <c r="F7" s="30">
        <f t="shared" si="1"/>
        <v>2852.6184963205596</v>
      </c>
    </row>
    <row r="8" spans="1:6" ht="15.75" thickBot="1" x14ac:dyDescent="0.3">
      <c r="A8" s="2">
        <v>2004</v>
      </c>
      <c r="B8" s="35" cm="1">
        <f t="array" ref="B8">_xlfn.XLOOKUP(TRUE, Triangle!B11:K11&lt;&gt;"",Triangle!B11:K11, ,0,-1)</f>
        <v>170055</v>
      </c>
      <c r="C8" s="29" cm="1">
        <f t="array" ref="C8">_xlfn.XLOOKUP(TRUE, Triangle!B11:K11&lt;&gt;"", Triangle!$B$4:$K$4, , 0, -1)</f>
        <v>4</v>
      </c>
      <c r="D8" s="15">
        <f>_xlfn.XLOOKUP(C8,Factors!$B$18:$K$18,Factors!$B$20:$K$20, ,0,1)</f>
        <v>1.0381309634190656</v>
      </c>
      <c r="E8" s="30">
        <f t="shared" si="0"/>
        <v>176539.36098422922</v>
      </c>
      <c r="F8" s="30">
        <f t="shared" si="1"/>
        <v>6484.3609842292208</v>
      </c>
    </row>
    <row r="9" spans="1:6" ht="15.75" thickBot="1" x14ac:dyDescent="0.3">
      <c r="A9" s="2">
        <v>2005</v>
      </c>
      <c r="B9" s="35" cm="1">
        <f t="array" ref="B9">_xlfn.XLOOKUP(TRUE, Triangle!B12:K12&lt;&gt;"",Triangle!B12:K12, ,0,-1)</f>
        <v>165521</v>
      </c>
      <c r="C9" s="29" cm="1">
        <f t="array" ref="C9">_xlfn.XLOOKUP(TRUE, Triangle!B12:K12&lt;&gt;"", Triangle!$B$4:$K$4, , 0, -1)</f>
        <v>3</v>
      </c>
      <c r="D9" s="15">
        <f>_xlfn.XLOOKUP(C9,Factors!$B$18:$K$18,Factors!$B$20:$K$20, ,0,1)</f>
        <v>1.0906355135896715</v>
      </c>
      <c r="E9" s="30">
        <f t="shared" si="0"/>
        <v>180523.08084487601</v>
      </c>
      <c r="F9" s="30">
        <f t="shared" si="1"/>
        <v>15002.080844876007</v>
      </c>
    </row>
    <row r="10" spans="1:6" ht="15.75" thickBot="1" x14ac:dyDescent="0.3">
      <c r="A10" s="2">
        <v>2006</v>
      </c>
      <c r="B10" s="35" cm="1">
        <f t="array" ref="B10">_xlfn.XLOOKUP(TRUE, Triangle!B13:K13&lt;&gt;"",Triangle!B13:K13, ,0,-1)</f>
        <v>140342</v>
      </c>
      <c r="C10" s="29" cm="1">
        <f t="array" ref="C10">_xlfn.XLOOKUP(TRUE, Triangle!B13:K13&lt;&gt;"", Triangle!$B$4:$K$4, , 0, -1)</f>
        <v>2</v>
      </c>
      <c r="D10" s="15">
        <f>_xlfn.XLOOKUP(C10,Factors!$B$18:$K$18,Factors!$B$20:$K$20, ,0,1)</f>
        <v>1.1998717474005061</v>
      </c>
      <c r="E10" s="30">
        <f t="shared" si="0"/>
        <v>168392.40077368182</v>
      </c>
      <c r="F10" s="30">
        <f t="shared" si="1"/>
        <v>28050.400773681817</v>
      </c>
    </row>
    <row r="11" spans="1:6" ht="15.75" thickBot="1" x14ac:dyDescent="0.3">
      <c r="A11" s="2">
        <v>2007</v>
      </c>
      <c r="B11" s="37" cm="1">
        <f t="array" ref="B11">_xlfn.XLOOKUP(TRUE, Triangle!B14:K14&lt;&gt;"",Triangle!B14:K14, ,0,-1)</f>
        <v>106588</v>
      </c>
      <c r="C11" s="38" cm="1">
        <f t="array" ref="C11">_xlfn.XLOOKUP(TRUE, Triangle!B14:K14&lt;&gt;"", Triangle!$B$4:$K$4, , 0, -1)</f>
        <v>1</v>
      </c>
      <c r="D11" s="16">
        <f>_xlfn.XLOOKUP(C11,Factors!$B$18:$K$18,Factors!$B$20:$K$20, ,0,1)</f>
        <v>1.8612806079549675</v>
      </c>
      <c r="E11" s="39">
        <f t="shared" si="0"/>
        <v>198390.17744070408</v>
      </c>
      <c r="F11" s="39">
        <f t="shared" si="1"/>
        <v>91802.177440704079</v>
      </c>
    </row>
    <row r="12" spans="1:6" x14ac:dyDescent="0.25">
      <c r="A12" s="76" t="s">
        <v>24</v>
      </c>
      <c r="B12" s="41">
        <f>SUM(B2:B11)</f>
        <v>1434038</v>
      </c>
      <c r="C12" s="42"/>
      <c r="D12" s="42"/>
      <c r="E12" s="43">
        <f>SUM(E2:E11)</f>
        <v>1580480.9042795475</v>
      </c>
      <c r="F12" s="43">
        <f>SUM(F2:F11)</f>
        <v>146442.90427954769</v>
      </c>
    </row>
    <row r="14" spans="1:6" ht="15.75" thickBot="1" x14ac:dyDescent="0.3"/>
    <row r="15" spans="1:6" ht="15.75" thickBot="1" x14ac:dyDescent="0.3">
      <c r="A15" s="2" t="s">
        <v>30</v>
      </c>
      <c r="B15" s="2" t="s">
        <v>61</v>
      </c>
      <c r="C15" s="2" t="s">
        <v>62</v>
      </c>
      <c r="D15" s="2" t="s">
        <v>32</v>
      </c>
    </row>
    <row r="16" spans="1:6" ht="15.75" thickBot="1" x14ac:dyDescent="0.3">
      <c r="A16" s="2" t="s">
        <v>31</v>
      </c>
      <c r="B16" s="34">
        <f>'Chain Ladder'!F12</f>
        <v>146098.34965261447</v>
      </c>
      <c r="C16" s="1"/>
      <c r="D16" s="1"/>
    </row>
    <row r="17" spans="1:5" ht="15.75" thickBot="1" x14ac:dyDescent="0.3">
      <c r="A17" s="2" t="s">
        <v>20</v>
      </c>
      <c r="B17" s="36">
        <f>F12</f>
        <v>146442.90427954769</v>
      </c>
      <c r="C17" s="30">
        <f>(B17-B16)</f>
        <v>344.55462693321169</v>
      </c>
      <c r="D17" s="48">
        <f>(B17-B16)/B16</f>
        <v>2.3583745316252845E-3</v>
      </c>
    </row>
    <row r="25" spans="1:5" x14ac:dyDescent="0.25">
      <c r="E25" s="6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A6AAA57E23034C809B672F84DD1100" ma:contentTypeVersion="8" ma:contentTypeDescription="Create a new document." ma:contentTypeScope="" ma:versionID="6184f4acb644e800748f0efa9d35b9c6">
  <xsd:schema xmlns:xsd="http://www.w3.org/2001/XMLSchema" xmlns:xs="http://www.w3.org/2001/XMLSchema" xmlns:p="http://schemas.microsoft.com/office/2006/metadata/properties" xmlns:ns3="bb7f4c9e-7d23-4406-8c0b-272a3f04c51d" xmlns:ns4="0de0ad09-d942-493f-8a46-fed7b7171831" targetNamespace="http://schemas.microsoft.com/office/2006/metadata/properties" ma:root="true" ma:fieldsID="6da6eba779e07a096af4b086b5d37dc0" ns3:_="" ns4:_="">
    <xsd:import namespace="bb7f4c9e-7d23-4406-8c0b-272a3f04c51d"/>
    <xsd:import namespace="0de0ad09-d942-493f-8a46-fed7b717183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7f4c9e-7d23-4406-8c0b-272a3f04c5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e0ad09-d942-493f-8a46-fed7b717183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b7f4c9e-7d23-4406-8c0b-272a3f04c5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4A3406-B1BA-457E-8895-9BE5BE8A2D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7f4c9e-7d23-4406-8c0b-272a3f04c51d"/>
    <ds:schemaRef ds:uri="0de0ad09-d942-493f-8a46-fed7b71718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7D82E0-BE4A-49AD-B937-5963BEE123AF}">
  <ds:schemaRefs>
    <ds:schemaRef ds:uri="http://schemas.microsoft.com/office/2006/documentManagement/types"/>
    <ds:schemaRef ds:uri="http://purl.org/dc/elements/1.1/"/>
    <ds:schemaRef ds:uri="0de0ad09-d942-493f-8a46-fed7b7171831"/>
    <ds:schemaRef ds:uri="http://www.w3.org/XML/1998/namespace"/>
    <ds:schemaRef ds:uri="http://schemas.microsoft.com/office/2006/metadata/properties"/>
    <ds:schemaRef ds:uri="http://purl.org/dc/dcmitype/"/>
    <ds:schemaRef ds:uri="http://schemas.microsoft.com/office/infopath/2007/PartnerControls"/>
    <ds:schemaRef ds:uri="http://schemas.openxmlformats.org/package/2006/metadata/core-properties"/>
    <ds:schemaRef ds:uri="bb7f4c9e-7d23-4406-8c0b-272a3f04c51d"/>
    <ds:schemaRef ds:uri="http://purl.org/dc/terms/"/>
  </ds:schemaRefs>
</ds:datastoreItem>
</file>

<file path=customXml/itemProps3.xml><?xml version="1.0" encoding="utf-8"?>
<ds:datastoreItem xmlns:ds="http://schemas.openxmlformats.org/officeDocument/2006/customXml" ds:itemID="{8F2EC15B-4FCE-485E-BE55-8EC876F5A318}">
  <ds:schemaRefs>
    <ds:schemaRef ds:uri="http://schemas.microsoft.com/sharepoint/v3/contenttype/forms"/>
  </ds:schemaRefs>
</ds:datastoreItem>
</file>

<file path=docMetadata/LabelInfo.xml><?xml version="1.0" encoding="utf-8"?>
<clbl:labelList xmlns:clbl="http://schemas.microsoft.com/office/2020/mipLabelMetadata">
  <clbl:label id="{22177130-642f-41d9-9211-74237ad5687d}" enabled="0" method="" siteId="{22177130-642f-41d9-9211-74237ad568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Methodology</vt:lpstr>
      <vt:lpstr>Raw Data</vt:lpstr>
      <vt:lpstr>Triangle</vt:lpstr>
      <vt:lpstr>Factors</vt:lpstr>
      <vt:lpstr>Chain Ladder</vt:lpstr>
      <vt:lpstr>BF</vt:lpstr>
      <vt:lpstr>Comparison</vt:lpstr>
      <vt:lpstr>Sensitivity</vt:lpstr>
      <vt:lpstr>Comparison!Print_Area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Tyler</dc:creator>
  <cp:lastModifiedBy>Troy, Tyler</cp:lastModifiedBy>
  <cp:lastPrinted>2026-08-17T23:21:38Z</cp:lastPrinted>
  <dcterms:created xsi:type="dcterms:W3CDTF">2026-08-16T18:37:58Z</dcterms:created>
  <dcterms:modified xsi:type="dcterms:W3CDTF">2026-08-17T23:45:11Z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0x010100DEA6AAA57E23034C809B672F84DD1100</vt:lpwstr>
  </property>
</Properties>
</file>